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Test Cases" sheetId="2" r:id="rId6"/>
    <sheet state="visible" name="Test Statistics" sheetId="3" r:id="rId7"/>
    <sheet state="visible" name="Đăng nhập &amp; Quên mật khẩu" sheetId="4" r:id="rId8"/>
    <sheet state="visible" name="Meter Readings &amp; Billing" sheetId="5" r:id="rId9"/>
    <sheet state="visible" name="ok" sheetId="6" r:id="rId10"/>
    <sheet state="visible" name="Contract &amp; Tenant Management" sheetId="7" r:id="rId11"/>
  </sheets>
  <definedNames>
    <definedName localSheetId="0" name="ACTION">#REF!</definedName>
    <definedName name="ACTION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0">
      <text>
        <t xml:space="preserve">*A: Add
  M: Modify
  D: Delete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</t>
      </text>
    </comment>
  </commentList>
</comments>
</file>

<file path=xl/sharedStrings.xml><?xml version="1.0" encoding="utf-8"?>
<sst xmlns="http://schemas.openxmlformats.org/spreadsheetml/2006/main" count="360" uniqueCount="110">
  <si>
    <t>SYSTEM TEST REPORT DOCUMENT</t>
  </si>
  <si>
    <t>TEST STATISTICS</t>
  </si>
  <si>
    <t>TEST CASE LIST</t>
  </si>
  <si>
    <t>Project Name</t>
  </si>
  <si>
    <t>&lt;Project Name&gt;</t>
  </si>
  <si>
    <t>Creator</t>
  </si>
  <si>
    <t>Workflow</t>
  </si>
  <si>
    <t>&lt;Workflow Name1&gt;</t>
  </si>
  <si>
    <t>Project Code</t>
  </si>
  <si>
    <t>&lt;Project Code&gt;</t>
  </si>
  <si>
    <t>Issue Date</t>
  </si>
  <si>
    <t>&lt;Date when this test report is created&gt;</t>
  </si>
  <si>
    <t>Document Code</t>
  </si>
  <si>
    <t>Reviewer/Approver</t>
  </si>
  <si>
    <t>Passed</t>
  </si>
  <si>
    <t>Version</t>
  </si>
  <si>
    <t>Test requirement</t>
  </si>
  <si>
    <t>&lt;Brief description about requirements which are tested in this sheet&gt;</t>
  </si>
  <si>
    <t>Notes</t>
  </si>
  <si>
    <t>&lt;List modules included in this release&gt; ex: Release 1 includes 2 modules: Module1 and Module2</t>
  </si>
  <si>
    <t>Failed</t>
  </si>
  <si>
    <t>Number of TCs</t>
  </si>
  <si>
    <t>Record of change</t>
  </si>
  <si>
    <t>Effective Date</t>
  </si>
  <si>
    <t>Change Item</t>
  </si>
  <si>
    <t>*A,D,M</t>
  </si>
  <si>
    <t>Change description</t>
  </si>
  <si>
    <t>Reference</t>
  </si>
  <si>
    <t>Pending</t>
  </si>
  <si>
    <t>No</t>
  </si>
  <si>
    <t>Module code</t>
  </si>
  <si>
    <t>Testing Round</t>
  </si>
  <si>
    <t>N/A</t>
  </si>
  <si>
    <t>Number of  test cases</t>
  </si>
  <si>
    <t>&lt;Date when these changes are effective&gt;</t>
  </si>
  <si>
    <t>&lt;List of documents which are refered in this version.&gt;</t>
  </si>
  <si>
    <t>Test Environment Setup Description</t>
  </si>
  <si>
    <t>Round 1</t>
  </si>
  <si>
    <t>&lt;List enviroment requires in this system
1. Server
2. Database
3. Web Browser
...
&gt;</t>
  </si>
  <si>
    <t>Round 2</t>
  </si>
  <si>
    <t>Round 3</t>
  </si>
  <si>
    <t>Sub total</t>
  </si>
  <si>
    <t>Test Case ID</t>
  </si>
  <si>
    <t>Test Case Description</t>
  </si>
  <si>
    <t>Test Case Procedure</t>
  </si>
  <si>
    <t>Expected Results</t>
  </si>
  <si>
    <t>Pre-conditions</t>
  </si>
  <si>
    <t>Test date</t>
  </si>
  <si>
    <t>Tester</t>
  </si>
  <si>
    <t>Note</t>
  </si>
  <si>
    <t>Function Name</t>
  </si>
  <si>
    <t>Sheet Name</t>
  </si>
  <si>
    <t>Scenario A</t>
  </si>
  <si>
    <t>Description</t>
  </si>
  <si>
    <t>Đăng Nhập</t>
  </si>
  <si>
    <t>Pre-Condition</t>
  </si>
  <si>
    <t>Test coverage</t>
  </si>
  <si>
    <t>%</t>
  </si>
  <si>
    <t xml:space="preserve">TC01 </t>
  </si>
  <si>
    <t>Cho phép xem các trang công khai khi chưa đăng nhập</t>
  </si>
  <si>
    <t>Function A</t>
  </si>
  <si>
    <t>Người dùng (chưa đăng nhập) truy cập vào các trang dành cho khách (ví dụ: màn hình Đăng nhập, Quên mật khẩu).</t>
  </si>
  <si>
    <t>Test successful coverage</t>
  </si>
  <si>
    <t>Người dùng vào xem bình thường, không bị hệ thống chặn lại.</t>
  </si>
  <si>
    <t xml:space="preserve">Phải đăng vào 
</t>
  </si>
  <si>
    <t>Workflow Name1</t>
  </si>
  <si>
    <t>TC02</t>
  </si>
  <si>
    <t>Chặn người lạ xem dữ liệu nội bộ</t>
  </si>
  <si>
    <t>Người dùng (chưa đăng nhập hoặc đã đăng xuất) cố tình gõ đường dẫn để vào xem các trang quản lý hoặc trang của cư dân.</t>
  </si>
  <si>
    <t>Hệ thống từ chối truy cập và tự động đẩy người dùng về lại màn hình Đăng nhập.</t>
  </si>
  <si>
    <t xml:space="preserve">TC03 </t>
  </si>
  <si>
    <t>&lt;Test case 3&gt;</t>
  </si>
  <si>
    <t>Scenario B</t>
  </si>
  <si>
    <t>Function B</t>
  </si>
  <si>
    <t>&lt;ID4&gt;</t>
  </si>
  <si>
    <t>&lt;Test case 4&gt;</t>
  </si>
  <si>
    <t>&lt;ID5&gt;</t>
  </si>
  <si>
    <t>Function C</t>
  </si>
  <si>
    <t>&lt;Test case 5&gt;</t>
  </si>
  <si>
    <t>Scenario C</t>
  </si>
  <si>
    <t>Function D</t>
  </si>
  <si>
    <t>&lt;ID6&gt;</t>
  </si>
  <si>
    <t>&lt;Test case 6&gt;</t>
  </si>
  <si>
    <t>Workflow Name2</t>
  </si>
  <si>
    <t>Function E</t>
  </si>
  <si>
    <t>fvsvs</t>
  </si>
  <si>
    <t>&lt;Test case 2&gt;</t>
  </si>
  <si>
    <t>&lt;Workflow Name2&gt;</t>
  </si>
  <si>
    <t>Scenario D</t>
  </si>
  <si>
    <t>TC-01</t>
  </si>
  <si>
    <t>Force the codebase to input.</t>
  </si>
  <si>
    <t>1. Access the Add Facility page.
2. Leave the "Facility Code" field blank.
3. Enter other valid fields.
4. Click "Create Facility".</t>
  </si>
  <si>
    <t>- The browser blocks the submission, displaying an error message "Please fill in this field."
- The data is not being sent to the server.</t>
  </si>
  <si>
    <t>The admin is currently on the "Add facility" page.</t>
  </si>
  <si>
    <t>TC-02</t>
  </si>
  <si>
    <t>Block special characters and numbers in the
Base Code.</t>
  </si>
  <si>
    <t>1. Access the Add Facility page.
2. "Facility Code" enter the characters @, #, _ or the numbers 1, 9.
3. Enter other valid fields.
4. Click "Create Facility".</t>
  </si>
  <si>
    <t>- Automatic error reporting system
- Only accepts alphabetical characters (A-Z, a-z).</t>
  </si>
  <si>
    <t>TC-03</t>
  </si>
  <si>
    <t>Automatically convert base code to uppercase</t>
  </si>
  <si>
    <t>1. Access the Add Facility page.
2. "Facility Code" enter valid character
4. Click "Create Facility".</t>
  </si>
  <si>
    <t>The interface automatically converts lowercase letters to uppercase after pressing "create facility".</t>
  </si>
  <si>
    <t>TC-04</t>
  </si>
  <si>
    <t>Length limits and values ​​for the number of floors/rooms.</t>
  </si>
  <si>
    <t>TC-05</t>
  </si>
  <si>
    <t>TC-06</t>
  </si>
  <si>
    <t>TC-07</t>
  </si>
  <si>
    <t>TC-08</t>
  </si>
  <si>
    <t>TC-09</t>
  </si>
  <si>
    <t>Scenario 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</si>
</sst>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-mmm\-yy"/>
  </numFmts>
  <fonts count="19">
    <font>
      <sz val="11.0"/>
      <color rgb="FF000000"/>
      <name val="MS PGothic"/>
      <scheme val="minor"/>
    </font>
    <font>
      <sz val="10.0"/>
      <color theme="1"/>
      <name val="Tahoma"/>
    </font>
    <font>
      <b/>
      <sz val="26.0"/>
      <color rgb="FFFF0000"/>
      <name val="Tahoma"/>
    </font>
    <font>
      <b/>
      <sz val="20.0"/>
      <color rgb="FF000000"/>
      <name val="Tahoma"/>
    </font>
    <font/>
    <font>
      <b/>
      <sz val="10.0"/>
      <color rgb="FF000000"/>
      <name val="Tahoma"/>
    </font>
    <font>
      <b/>
      <sz val="10.0"/>
      <color rgb="FF993300"/>
      <name val="Tahoma"/>
    </font>
    <font>
      <i/>
      <sz val="10.0"/>
      <color rgb="FF008000"/>
      <name val="Tahoma"/>
    </font>
    <font>
      <sz val="10.0"/>
      <color rgb="FFFF0000"/>
      <name val="Tahoma"/>
    </font>
    <font>
      <b/>
      <sz val="10.0"/>
      <color theme="1"/>
      <name val="Tahoma"/>
    </font>
    <font>
      <i/>
      <sz val="10.0"/>
      <color theme="1"/>
      <name val="Tahoma"/>
    </font>
    <font>
      <b/>
      <sz val="10.0"/>
      <color rgb="FFFF0000"/>
      <name val="Tahoma"/>
    </font>
    <font>
      <sz val="10.0"/>
      <color rgb="FF000000"/>
      <name val="Tahoma"/>
    </font>
    <font>
      <b/>
      <sz val="10.0"/>
      <color rgb="FFFFFFFF"/>
      <name val="Tahoma"/>
    </font>
    <font>
      <b/>
      <i/>
      <sz val="10.0"/>
      <color theme="1"/>
      <name val="Tahoma"/>
    </font>
    <font>
      <sz val="10.0"/>
      <color rgb="FFFFFFFF"/>
      <name val="Tahoma"/>
    </font>
    <font>
      <b/>
      <sz val="10.0"/>
      <color rgb="FF0000FF"/>
      <name val="Tahoma"/>
    </font>
    <font>
      <u/>
      <sz val="11.0"/>
      <color rgb="FF0000FF"/>
      <name val="MS PGothic"/>
    </font>
    <font>
      <u/>
      <sz val="10.0"/>
      <color rgb="FF0000FF"/>
      <name val="Tahoma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76923C"/>
        <bgColor rgb="FF76923C"/>
      </patternFill>
    </fill>
    <fill>
      <patternFill patternType="solid">
        <fgColor rgb="FF333399"/>
        <bgColor rgb="FF333399"/>
      </patternFill>
    </fill>
    <fill>
      <patternFill patternType="solid">
        <fgColor rgb="FFCCFFFF"/>
        <bgColor rgb="FFCCFFFF"/>
      </patternFill>
    </fill>
  </fills>
  <borders count="42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/>
      <right style="medium">
        <color rgb="FF000000"/>
      </right>
      <top/>
      <bottom/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1" fillId="2" fontId="1" numFmtId="0" xfId="0" applyBorder="1" applyFill="1" applyFont="1"/>
    <xf borderId="2" fillId="0" fontId="2" numFmtId="0" xfId="0" applyAlignment="1" applyBorder="1" applyFont="1">
      <alignment horizontal="center" vertical="center"/>
    </xf>
    <xf borderId="1" fillId="2" fontId="1" numFmtId="1" xfId="0" applyBorder="1" applyFont="1" applyNumberFormat="1"/>
    <xf borderId="2" fillId="0" fontId="3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left"/>
    </xf>
    <xf borderId="3" fillId="0" fontId="4" numFmtId="0" xfId="0" applyBorder="1" applyFont="1"/>
    <xf borderId="4" fillId="0" fontId="4" numFmtId="0" xfId="0" applyBorder="1" applyFont="1"/>
    <xf borderId="0" fillId="0" fontId="1" numFmtId="0" xfId="0" applyAlignment="1" applyFont="1">
      <alignment horizontal="center" vertical="center"/>
    </xf>
    <xf borderId="1" fillId="2" fontId="3" numFmtId="0" xfId="0" applyAlignment="1" applyBorder="1" applyFont="1">
      <alignment horizontal="left"/>
    </xf>
    <xf borderId="5" fillId="2" fontId="3" numFmtId="0" xfId="0" applyAlignment="1" applyBorder="1" applyFont="1">
      <alignment horizontal="center"/>
    </xf>
    <xf borderId="1" fillId="2" fontId="5" numFmtId="0" xfId="0" applyAlignment="1" applyBorder="1" applyFont="1">
      <alignment horizontal="left"/>
    </xf>
    <xf borderId="1" fillId="2" fontId="6" numFmtId="0" xfId="0" applyAlignment="1" applyBorder="1" applyFont="1">
      <alignment horizontal="left"/>
    </xf>
    <xf borderId="6" fillId="0" fontId="4" numFmtId="0" xfId="0" applyBorder="1" applyFont="1"/>
    <xf borderId="0" fillId="0" fontId="7" numFmtId="0" xfId="0" applyAlignment="1" applyFont="1">
      <alignment horizontal="left"/>
    </xf>
    <xf borderId="1" fillId="2" fontId="8" numFmtId="0" xfId="0" applyBorder="1" applyFont="1"/>
    <xf borderId="1" fillId="2" fontId="9" numFmtId="0" xfId="0" applyBorder="1" applyFont="1"/>
    <xf borderId="7" fillId="2" fontId="9" numFmtId="0" xfId="0" applyAlignment="1" applyBorder="1" applyFont="1">
      <alignment horizontal="left"/>
    </xf>
    <xf borderId="2" fillId="0" fontId="10" numFmtId="0" xfId="0" applyAlignment="1" applyBorder="1" applyFont="1">
      <alignment horizontal="left"/>
    </xf>
    <xf borderId="1" fillId="2" fontId="1" numFmtId="164" xfId="0" applyBorder="1" applyFont="1" applyNumberFormat="1"/>
    <xf borderId="4" fillId="0" fontId="1" numFmtId="0" xfId="0" applyBorder="1" applyFont="1"/>
    <xf borderId="8" fillId="2" fontId="9" numFmtId="0" xfId="0" applyAlignment="1" applyBorder="1" applyFont="1">
      <alignment horizontal="center" shrinkToFit="0" vertical="top" wrapText="1"/>
    </xf>
    <xf borderId="9" fillId="2" fontId="1" numFmtId="0" xfId="0" applyAlignment="1" applyBorder="1" applyFont="1">
      <alignment horizontal="left" shrinkToFit="0" vertical="top" wrapText="1"/>
    </xf>
    <xf borderId="7" fillId="2" fontId="6" numFmtId="0" xfId="0" applyAlignment="1" applyBorder="1" applyFont="1">
      <alignment horizontal="left" vertical="center"/>
    </xf>
    <xf borderId="10" fillId="0" fontId="4" numFmtId="0" xfId="0" applyBorder="1" applyFont="1"/>
    <xf borderId="11" fillId="0" fontId="4" numFmtId="0" xfId="0" applyBorder="1" applyFont="1"/>
    <xf borderId="2" fillId="2" fontId="7" numFmtId="0" xfId="0" applyAlignment="1" applyBorder="1" applyFont="1">
      <alignment horizontal="left"/>
    </xf>
    <xf borderId="1" fillId="2" fontId="7" numFmtId="0" xfId="0" applyAlignment="1" applyBorder="1" applyFont="1">
      <alignment shrinkToFit="0" wrapText="1"/>
    </xf>
    <xf borderId="1" fillId="2" fontId="11" numFmtId="0" xfId="0" applyAlignment="1" applyBorder="1" applyFont="1">
      <alignment horizontal="left"/>
    </xf>
    <xf borderId="2" fillId="2" fontId="6" numFmtId="0" xfId="0" applyAlignment="1" applyBorder="1" applyFont="1">
      <alignment horizontal="left"/>
    </xf>
    <xf borderId="12" fillId="2" fontId="6" numFmtId="0" xfId="0" applyAlignment="1" applyBorder="1" applyFont="1">
      <alignment horizontal="left"/>
    </xf>
    <xf borderId="4" fillId="0" fontId="10" numFmtId="0" xfId="0" applyBorder="1" applyFont="1"/>
    <xf borderId="12" fillId="2" fontId="1" numFmtId="0" xfId="0" applyAlignment="1" applyBorder="1" applyFont="1">
      <alignment vertical="top"/>
    </xf>
    <xf borderId="1" fillId="2" fontId="7" numFmtId="0" xfId="0" applyAlignment="1" applyBorder="1" applyFont="1">
      <alignment horizontal="left" shrinkToFit="0" wrapText="1"/>
    </xf>
    <xf borderId="1" fillId="2" fontId="1" numFmtId="0" xfId="0" applyAlignment="1" applyBorder="1" applyFont="1">
      <alignment shrinkToFit="0" wrapText="1"/>
    </xf>
    <xf borderId="7" fillId="2" fontId="9" numFmtId="0" xfId="0" applyAlignment="1" applyBorder="1" applyFont="1">
      <alignment vertical="center"/>
    </xf>
    <xf borderId="1" fillId="2" fontId="8" numFmtId="0" xfId="0" applyAlignment="1" applyBorder="1" applyFont="1">
      <alignment shrinkToFit="0" wrapText="1"/>
    </xf>
    <xf borderId="1" fillId="2" fontId="12" numFmtId="0" xfId="0" applyBorder="1" applyFont="1"/>
    <xf borderId="7" fillId="2" fontId="6" numFmtId="0" xfId="0" applyAlignment="1" applyBorder="1" applyFont="1">
      <alignment vertical="center"/>
    </xf>
    <xf borderId="2" fillId="0" fontId="10" numFmtId="0" xfId="0" applyAlignment="1" applyBorder="1" applyFont="1">
      <alignment horizontal="left" vertical="center"/>
    </xf>
    <xf borderId="2" fillId="2" fontId="6" numFmtId="1" xfId="0" applyBorder="1" applyFont="1" applyNumberFormat="1"/>
    <xf borderId="4" fillId="0" fontId="10" numFmtId="0" xfId="0" applyAlignment="1" applyBorder="1" applyFont="1">
      <alignment horizontal="left"/>
    </xf>
    <xf borderId="13" fillId="2" fontId="9" numFmtId="0" xfId="0" applyAlignment="1" applyBorder="1" applyFont="1">
      <alignment horizontal="center" shrinkToFit="0" vertical="top" wrapText="1"/>
    </xf>
    <xf borderId="2" fillId="2" fontId="1" numFmtId="0" xfId="0" applyAlignment="1" applyBorder="1" applyFont="1">
      <alignment horizontal="left" shrinkToFit="0" vertical="top" wrapText="1"/>
    </xf>
    <xf borderId="14" fillId="0" fontId="4" numFmtId="0" xfId="0" applyBorder="1" applyFont="1"/>
    <xf borderId="12" fillId="2" fontId="7" numFmtId="0" xfId="0" applyAlignment="1" applyBorder="1" applyFont="1">
      <alignment vertical="top"/>
    </xf>
    <xf borderId="0" fillId="0" fontId="9" numFmtId="0" xfId="0" applyFont="1"/>
    <xf borderId="0" fillId="0" fontId="6" numFmtId="0" xfId="0" applyAlignment="1" applyFont="1">
      <alignment horizontal="left"/>
    </xf>
    <xf borderId="2" fillId="2" fontId="7" numFmtId="0" xfId="0" applyAlignment="1" applyBorder="1" applyFont="1">
      <alignment vertical="top"/>
    </xf>
    <xf borderId="1" fillId="2" fontId="6" numFmtId="0" xfId="0" applyBorder="1" applyFont="1"/>
    <xf borderId="1" fillId="2" fontId="7" numFmtId="0" xfId="0" applyBorder="1" applyFont="1"/>
    <xf borderId="0" fillId="0" fontId="9" numFmtId="0" xfId="0" applyAlignment="1" applyFont="1">
      <alignment horizontal="left"/>
    </xf>
    <xf borderId="15" fillId="3" fontId="13" numFmtId="164" xfId="0" applyAlignment="1" applyBorder="1" applyFill="1" applyFont="1" applyNumberFormat="1">
      <alignment horizontal="center" vertical="center"/>
    </xf>
    <xf borderId="16" fillId="3" fontId="13" numFmtId="0" xfId="0" applyAlignment="1" applyBorder="1" applyFont="1">
      <alignment horizontal="center" vertical="center"/>
    </xf>
    <xf borderId="17" fillId="3" fontId="13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18" fillId="2" fontId="1" numFmtId="0" xfId="0" applyBorder="1" applyFont="1"/>
    <xf borderId="19" fillId="3" fontId="13" numFmtId="0" xfId="0" applyAlignment="1" applyBorder="1" applyFont="1">
      <alignment horizontal="center"/>
    </xf>
    <xf borderId="16" fillId="3" fontId="13" numFmtId="0" xfId="0" applyAlignment="1" applyBorder="1" applyFont="1">
      <alignment horizontal="center"/>
    </xf>
    <xf borderId="13" fillId="2" fontId="14" numFmtId="0" xfId="0" applyAlignment="1" applyBorder="1" applyFont="1">
      <alignment horizontal="center" shrinkToFit="0" vertical="top" wrapText="1"/>
    </xf>
    <xf borderId="16" fillId="3" fontId="13" numFmtId="0" xfId="0" applyAlignment="1" applyBorder="1" applyFont="1">
      <alignment horizontal="center" shrinkToFit="0" wrapText="1"/>
    </xf>
    <xf borderId="7" fillId="2" fontId="14" numFmtId="0" xfId="0" applyAlignment="1" applyBorder="1" applyFont="1">
      <alignment horizontal="center" shrinkToFit="0" vertical="top" wrapText="1"/>
    </xf>
    <xf borderId="20" fillId="3" fontId="13" numFmtId="0" xfId="0" applyAlignment="1" applyBorder="1" applyFont="1">
      <alignment horizontal="center"/>
    </xf>
    <xf borderId="21" fillId="3" fontId="13" numFmtId="0" xfId="0" applyAlignment="1" applyBorder="1" applyFont="1">
      <alignment horizontal="center" shrinkToFit="0" wrapText="1"/>
    </xf>
    <xf borderId="22" fillId="0" fontId="10" numFmtId="0" xfId="0" applyAlignment="1" applyBorder="1" applyFont="1">
      <alignment shrinkToFit="0" vertical="top" wrapText="1"/>
    </xf>
    <xf borderId="23" fillId="2" fontId="14" numFmtId="0" xfId="0" applyAlignment="1" applyBorder="1" applyFont="1">
      <alignment horizontal="center" shrinkToFit="0" vertical="top" wrapText="1"/>
    </xf>
    <xf borderId="24" fillId="0" fontId="1" numFmtId="49" xfId="0" applyAlignment="1" applyBorder="1" applyFont="1" applyNumberFormat="1">
      <alignment vertical="top"/>
    </xf>
    <xf borderId="1" fillId="2" fontId="5" numFmtId="0" xfId="0" applyAlignment="1" applyBorder="1" applyFont="1">
      <alignment horizontal="center" shrinkToFit="0" vertical="center" wrapText="1"/>
    </xf>
    <xf borderId="24" fillId="0" fontId="1" numFmtId="0" xfId="0" applyAlignment="1" applyBorder="1" applyFont="1">
      <alignment vertical="top"/>
    </xf>
    <xf borderId="1" fillId="2" fontId="1" numFmtId="0" xfId="0" applyAlignment="1" applyBorder="1" applyFont="1">
      <alignment horizontal="center" shrinkToFit="0" wrapText="1"/>
    </xf>
    <xf borderId="25" fillId="2" fontId="1" numFmtId="0" xfId="0" applyAlignment="1" applyBorder="1" applyFont="1">
      <alignment horizontal="center"/>
    </xf>
    <xf borderId="24" fillId="0" fontId="1" numFmtId="15" xfId="0" applyAlignment="1" applyBorder="1" applyFont="1" applyNumberFormat="1">
      <alignment vertical="top"/>
    </xf>
    <xf borderId="26" fillId="0" fontId="10" numFmtId="0" xfId="0" applyAlignment="1" applyBorder="1" applyFont="1">
      <alignment shrinkToFit="0" vertical="top" wrapText="1"/>
    </xf>
    <xf borderId="0" fillId="0" fontId="1" numFmtId="0" xfId="0" applyAlignment="1" applyFont="1">
      <alignment vertical="top"/>
    </xf>
    <xf borderId="1" fillId="2" fontId="8" numFmtId="0" xfId="0" applyAlignment="1" applyBorder="1" applyFont="1">
      <alignment horizontal="center" shrinkToFit="0" wrapText="1"/>
    </xf>
    <xf borderId="24" fillId="2" fontId="1" numFmtId="0" xfId="0" applyBorder="1" applyFont="1"/>
    <xf borderId="2" fillId="2" fontId="6" numFmtId="1" xfId="0" applyAlignment="1" applyBorder="1" applyFont="1" applyNumberFormat="1">
      <alignment shrinkToFit="0" vertical="center" wrapText="1"/>
    </xf>
    <xf borderId="24" fillId="2" fontId="1" numFmtId="0" xfId="0" applyAlignment="1" applyBorder="1" applyFont="1">
      <alignment horizontal="center"/>
    </xf>
    <xf borderId="2" fillId="2" fontId="7" numFmtId="0" xfId="0" applyAlignment="1" applyBorder="1" applyFont="1">
      <alignment shrinkToFit="0" vertical="top" wrapText="1"/>
    </xf>
    <xf borderId="22" fillId="0" fontId="1" numFmtId="164" xfId="0" applyAlignment="1" applyBorder="1" applyFont="1" applyNumberFormat="1">
      <alignment vertical="top"/>
    </xf>
    <xf borderId="7" fillId="2" fontId="1" numFmtId="0" xfId="0" applyAlignment="1" applyBorder="1" applyFont="1">
      <alignment horizontal="center" shrinkToFit="0" vertical="top" wrapText="1"/>
    </xf>
    <xf borderId="27" fillId="2" fontId="1" numFmtId="0" xfId="0" applyAlignment="1" applyBorder="1" applyFont="1">
      <alignment horizontal="center"/>
    </xf>
    <xf borderId="26" fillId="0" fontId="1" numFmtId="0" xfId="0" applyAlignment="1" applyBorder="1" applyFont="1">
      <alignment vertical="top"/>
    </xf>
    <xf borderId="23" fillId="2" fontId="1" numFmtId="0" xfId="0" applyAlignment="1" applyBorder="1" applyFont="1">
      <alignment horizontal="center" shrinkToFit="0" vertical="top" wrapText="1"/>
    </xf>
    <xf borderId="1" fillId="2" fontId="12" numFmtId="0" xfId="0" applyAlignment="1" applyBorder="1" applyFont="1">
      <alignment horizontal="center" shrinkToFit="0" vertical="center" wrapText="1"/>
    </xf>
    <xf borderId="1" fillId="2" fontId="6" numFmtId="1" xfId="0" applyBorder="1" applyFont="1" applyNumberFormat="1"/>
    <xf borderId="28" fillId="2" fontId="1" numFmtId="0" xfId="0" applyAlignment="1" applyBorder="1" applyFont="1">
      <alignment horizontal="center"/>
    </xf>
    <xf borderId="29" fillId="2" fontId="14" numFmtId="0" xfId="0" applyAlignment="1" applyBorder="1" applyFont="1">
      <alignment horizontal="center" shrinkToFit="0" vertical="top" wrapText="1"/>
    </xf>
    <xf borderId="30" fillId="2" fontId="1" numFmtId="0" xfId="0" applyAlignment="1" applyBorder="1" applyFont="1">
      <alignment horizontal="center" shrinkToFit="0" vertical="top" wrapText="1"/>
    </xf>
    <xf borderId="31" fillId="2" fontId="1" numFmtId="0" xfId="0" applyAlignment="1" applyBorder="1" applyFont="1">
      <alignment horizontal="center" shrinkToFit="0" vertical="top" wrapText="1"/>
    </xf>
    <xf borderId="32" fillId="3" fontId="15" numFmtId="0" xfId="0" applyAlignment="1" applyBorder="1" applyFont="1">
      <alignment horizontal="center"/>
    </xf>
    <xf borderId="1" fillId="2" fontId="1" numFmtId="0" xfId="0" applyAlignment="1" applyBorder="1" applyFont="1">
      <alignment vertical="center"/>
    </xf>
    <xf borderId="33" fillId="3" fontId="13" numFmtId="0" xfId="0" applyBorder="1" applyFont="1"/>
    <xf borderId="1" fillId="2" fontId="1" numFmtId="1" xfId="0" applyAlignment="1" applyBorder="1" applyFont="1" applyNumberFormat="1">
      <alignment vertical="center"/>
    </xf>
    <xf borderId="1" fillId="2" fontId="1" numFmtId="0" xfId="0" applyAlignment="1" applyBorder="1" applyFont="1">
      <alignment horizontal="left" vertical="center"/>
    </xf>
    <xf borderId="1" fillId="2" fontId="12" numFmtId="0" xfId="0" applyAlignment="1" applyBorder="1" applyFont="1">
      <alignment horizontal="center" shrinkToFit="0" wrapText="1"/>
    </xf>
    <xf borderId="33" fillId="3" fontId="15" numFmtId="0" xfId="0" applyAlignment="1" applyBorder="1" applyFont="1">
      <alignment horizontal="center"/>
    </xf>
    <xf borderId="34" fillId="0" fontId="1" numFmtId="164" xfId="0" applyAlignment="1" applyBorder="1" applyFont="1" applyNumberFormat="1">
      <alignment vertical="top"/>
    </xf>
    <xf borderId="33" fillId="0" fontId="1" numFmtId="49" xfId="0" applyAlignment="1" applyBorder="1" applyFont="1" applyNumberFormat="1">
      <alignment vertical="top"/>
    </xf>
    <xf borderId="33" fillId="0" fontId="1" numFmtId="0" xfId="0" applyAlignment="1" applyBorder="1" applyFont="1">
      <alignment vertical="top"/>
    </xf>
    <xf borderId="35" fillId="3" fontId="15" numFmtId="0" xfId="0" applyAlignment="1" applyBorder="1" applyFont="1">
      <alignment horizontal="center"/>
    </xf>
    <xf borderId="36" fillId="0" fontId="1" numFmtId="0" xfId="0" applyAlignment="1" applyBorder="1" applyFont="1">
      <alignment vertical="top"/>
    </xf>
    <xf borderId="7" fillId="4" fontId="13" numFmtId="0" xfId="0" applyAlignment="1" applyBorder="1" applyFill="1" applyFont="1">
      <alignment horizontal="center" shrinkToFit="0" vertical="center" wrapText="1"/>
    </xf>
    <xf borderId="1" fillId="2" fontId="9" numFmtId="0" xfId="0" applyAlignment="1" applyBorder="1" applyFont="1">
      <alignment horizontal="center"/>
    </xf>
    <xf borderId="1" fillId="2" fontId="1" numFmtId="0" xfId="0" applyAlignment="1" applyBorder="1" applyFont="1">
      <alignment horizontal="center"/>
    </xf>
    <xf borderId="1" fillId="2" fontId="11" numFmtId="0" xfId="0" applyAlignment="1" applyBorder="1" applyFont="1">
      <alignment horizontal="center" shrinkToFit="0" vertical="center" wrapText="1"/>
    </xf>
    <xf borderId="15" fillId="5" fontId="13" numFmtId="1" xfId="0" applyAlignment="1" applyBorder="1" applyFill="1" applyFont="1" applyNumberFormat="1">
      <alignment horizontal="center" vertical="center"/>
    </xf>
    <xf borderId="1" fillId="2" fontId="1" numFmtId="10" xfId="0" applyAlignment="1" applyBorder="1" applyFont="1" applyNumberFormat="1">
      <alignment horizontal="center"/>
    </xf>
    <xf borderId="1" fillId="2" fontId="1" numFmtId="9" xfId="0" applyAlignment="1" applyBorder="1" applyFont="1" applyNumberFormat="1">
      <alignment horizontal="center"/>
    </xf>
    <xf borderId="16" fillId="5" fontId="13" numFmtId="0" xfId="0" applyAlignment="1" applyBorder="1" applyFont="1">
      <alignment horizontal="center" vertical="center"/>
    </xf>
    <xf borderId="37" fillId="6" fontId="9" numFmtId="0" xfId="0" applyAlignment="1" applyBorder="1" applyFill="1" applyFont="1">
      <alignment horizontal="left" vertical="center"/>
    </xf>
    <xf borderId="20" fillId="5" fontId="13" numFmtId="0" xfId="0" applyAlignment="1" applyBorder="1" applyFont="1">
      <alignment horizontal="center" vertical="center"/>
    </xf>
    <xf borderId="37" fillId="6" fontId="9" numFmtId="0" xfId="0" applyAlignment="1" applyBorder="1" applyFont="1">
      <alignment horizontal="left" readingOrder="0" vertical="center"/>
    </xf>
    <xf borderId="38" fillId="6" fontId="9" numFmtId="0" xfId="0" applyAlignment="1" applyBorder="1" applyFont="1">
      <alignment horizontal="left" vertical="center"/>
    </xf>
    <xf borderId="17" fillId="5" fontId="13" numFmtId="0" xfId="0" applyAlignment="1" applyBorder="1" applyFont="1">
      <alignment horizontal="center" vertical="center"/>
    </xf>
    <xf borderId="39" fillId="6" fontId="9" numFmtId="0" xfId="0" applyAlignment="1" applyBorder="1" applyFont="1">
      <alignment horizontal="left" vertical="center"/>
    </xf>
    <xf borderId="1" fillId="2" fontId="11" numFmtId="0" xfId="0" applyAlignment="1" applyBorder="1" applyFont="1">
      <alignment horizontal="left" vertical="center"/>
    </xf>
    <xf borderId="1" fillId="2" fontId="16" numFmtId="2" xfId="0" applyAlignment="1" applyBorder="1" applyFont="1" applyNumberFormat="1">
      <alignment horizontal="right" shrinkToFit="0" wrapText="1"/>
    </xf>
    <xf borderId="7" fillId="2" fontId="1" numFmtId="0" xfId="0" applyAlignment="1" applyBorder="1" applyFont="1">
      <alignment readingOrder="0" shrinkToFit="0" vertical="top" wrapText="1"/>
    </xf>
    <xf borderId="22" fillId="2" fontId="1" numFmtId="1" xfId="0" applyAlignment="1" applyBorder="1" applyFont="1" applyNumberFormat="1">
      <alignment vertical="center"/>
    </xf>
    <xf borderId="7" fillId="2" fontId="12" numFmtId="0" xfId="0" applyAlignment="1" applyBorder="1" applyFont="1">
      <alignment readingOrder="0" shrinkToFit="0" vertical="top" wrapText="1"/>
    </xf>
    <xf borderId="24" fillId="2" fontId="1" numFmtId="49" xfId="0" applyAlignment="1" applyBorder="1" applyFont="1" applyNumberFormat="1">
      <alignment horizontal="left" vertical="center"/>
    </xf>
    <xf borderId="7" fillId="2" fontId="12" numFmtId="0" xfId="0" applyAlignment="1" applyBorder="1" applyFont="1">
      <alignment readingOrder="0" shrinkToFit="0" vertical="top" wrapText="1"/>
    </xf>
    <xf borderId="7" fillId="2" fontId="12" numFmtId="0" xfId="0" applyAlignment="1" applyBorder="1" applyFont="1">
      <alignment horizontal="left" readingOrder="0" shrinkToFit="0" vertical="top" wrapText="1"/>
    </xf>
    <xf borderId="7" fillId="2" fontId="7" numFmtId="0" xfId="0" applyAlignment="1" applyBorder="1" applyFont="1">
      <alignment horizontal="left" readingOrder="0" shrinkToFit="0" vertical="top" wrapText="1"/>
    </xf>
    <xf borderId="7" fillId="2" fontId="1" numFmtId="0" xfId="0" applyAlignment="1" applyBorder="1" applyFont="1">
      <alignment shrinkToFit="0" vertical="top" wrapText="1"/>
    </xf>
    <xf borderId="24" fillId="2" fontId="17" numFmtId="0" xfId="0" applyAlignment="1" applyBorder="1" applyFont="1">
      <alignment horizontal="left" vertical="center"/>
    </xf>
    <xf borderId="24" fillId="2" fontId="18" numFmtId="0" xfId="0" applyAlignment="1" applyBorder="1" applyFont="1">
      <alignment horizontal="left" vertical="center"/>
    </xf>
    <xf borderId="26" fillId="2" fontId="1" numFmtId="0" xfId="0" applyAlignment="1" applyBorder="1" applyFont="1">
      <alignment horizontal="left" vertical="center"/>
    </xf>
    <xf borderId="1" fillId="2" fontId="12" numFmtId="0" xfId="0" applyAlignment="1" applyBorder="1" applyFont="1">
      <alignment vertical="top"/>
    </xf>
    <xf borderId="1" fillId="2" fontId="8" numFmtId="0" xfId="0" applyAlignment="1" applyBorder="1" applyFont="1">
      <alignment shrinkToFit="0" vertical="top" wrapText="1"/>
    </xf>
    <xf borderId="7" fillId="2" fontId="12" numFmtId="0" xfId="0" applyAlignment="1" applyBorder="1" applyFont="1">
      <alignment horizontal="left" readingOrder="0" shrinkToFit="0" vertical="top" wrapText="1"/>
    </xf>
    <xf borderId="7" fillId="2" fontId="12" numFmtId="0" xfId="0" applyAlignment="1" applyBorder="1" applyFont="1">
      <alignment horizontal="left" shrinkToFit="0" vertical="top" wrapText="1"/>
    </xf>
    <xf borderId="40" fillId="6" fontId="9" numFmtId="0" xfId="0" applyAlignment="1" applyBorder="1" applyFont="1">
      <alignment horizontal="left" vertical="center"/>
    </xf>
    <xf borderId="41" fillId="6" fontId="9" numFmtId="0" xfId="0" applyAlignment="1" applyBorder="1" applyFont="1">
      <alignment horizontal="left" vertical="center"/>
    </xf>
    <xf borderId="12" fillId="6" fontId="9" numFmtId="0" xfId="0" applyAlignment="1" applyBorder="1" applyFont="1">
      <alignment horizontal="left" vertical="center"/>
    </xf>
    <xf borderId="7" fillId="2" fontId="1" numFmtId="0" xfId="0" applyBorder="1" applyFont="1"/>
    <xf borderId="24" fillId="2" fontId="1" numFmtId="0" xfId="0" applyAlignment="1" applyBorder="1" applyFont="1">
      <alignment horizontal="left" vertical="center"/>
    </xf>
    <xf borderId="34" fillId="2" fontId="1" numFmtId="1" xfId="0" applyAlignment="1" applyBorder="1" applyFont="1" applyNumberFormat="1">
      <alignment vertical="center"/>
    </xf>
    <xf borderId="33" fillId="2" fontId="1" numFmtId="49" xfId="0" applyAlignment="1" applyBorder="1" applyFont="1" applyNumberFormat="1">
      <alignment horizontal="left" vertical="center"/>
    </xf>
    <xf borderId="33" fillId="2" fontId="1" numFmtId="0" xfId="0" applyAlignment="1" applyBorder="1" applyFont="1">
      <alignment horizontal="left" vertical="center"/>
    </xf>
    <xf borderId="36" fillId="2" fontId="1" numFmtId="0" xfId="0" applyAlignment="1" applyBorder="1" applyFont="1">
      <alignment horizontal="left" vertical="center"/>
    </xf>
    <xf borderId="7" fillId="2" fontId="7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85725</xdr:rowOff>
    </xdr:from>
    <xdr:ext cx="2009775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 outlineLevelCol="1" outlineLevelRow="1"/>
  <cols>
    <col customWidth="1" min="1" max="1" width="28.13"/>
    <col customWidth="1" min="2" max="2" width="10.0"/>
    <col customWidth="1" min="3" max="3" width="14.38"/>
    <col customWidth="1" min="4" max="4" width="8.0"/>
    <col customWidth="1" min="5" max="5" width="38.0"/>
    <col customWidth="1" min="6" max="6" width="48.13"/>
    <col customWidth="1" min="7" max="26" width="9.0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75.75" customHeight="1">
      <c r="A2" s="4"/>
      <c r="B2" s="6" t="s">
        <v>0</v>
      </c>
      <c r="C2" s="8"/>
      <c r="D2" s="8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75" customHeight="1">
      <c r="A3" s="14"/>
      <c r="B3" s="16"/>
      <c r="C3" s="2"/>
      <c r="D3" s="2"/>
      <c r="E3" s="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9" t="s">
        <v>3</v>
      </c>
      <c r="B4" s="20" t="s">
        <v>4</v>
      </c>
      <c r="C4" s="8"/>
      <c r="D4" s="9"/>
      <c r="E4" s="19" t="s">
        <v>5</v>
      </c>
      <c r="F4" s="2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9" t="s">
        <v>8</v>
      </c>
      <c r="B5" s="20" t="s">
        <v>9</v>
      </c>
      <c r="C5" s="8"/>
      <c r="D5" s="9"/>
      <c r="E5" s="19" t="s">
        <v>10</v>
      </c>
      <c r="F5" s="33" t="s">
        <v>11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37" t="s">
        <v>12</v>
      </c>
      <c r="B6" s="41" t="str">
        <f>B5&amp;"_"&amp;"XXX"&amp;"_"&amp;"vx.x"</f>
        <v>&lt;Project Code&gt;_XXX_vx.x</v>
      </c>
      <c r="C6" s="8"/>
      <c r="D6" s="9"/>
      <c r="E6" s="19" t="s">
        <v>15</v>
      </c>
      <c r="F6" s="43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48"/>
      <c r="B7" s="16"/>
      <c r="C7" s="2"/>
      <c r="D7" s="2"/>
      <c r="E7" s="49"/>
      <c r="F7" s="16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53" t="s">
        <v>22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54" t="s">
        <v>23</v>
      </c>
      <c r="B10" s="55" t="s">
        <v>15</v>
      </c>
      <c r="C10" s="55" t="s">
        <v>24</v>
      </c>
      <c r="D10" s="55" t="s">
        <v>25</v>
      </c>
      <c r="E10" s="55" t="s">
        <v>26</v>
      </c>
      <c r="F10" s="56" t="s">
        <v>27</v>
      </c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ht="26.25" customHeight="1">
      <c r="A11" s="66" t="s">
        <v>34</v>
      </c>
      <c r="B11" s="68"/>
      <c r="C11" s="70"/>
      <c r="D11" s="70"/>
      <c r="E11" s="73"/>
      <c r="F11" s="74" t="s">
        <v>35</v>
      </c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</row>
    <row r="12" ht="21.75" customHeight="1">
      <c r="A12" s="81"/>
      <c r="B12" s="68"/>
      <c r="C12" s="70"/>
      <c r="D12" s="70"/>
      <c r="E12" s="70"/>
      <c r="F12" s="84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</row>
    <row r="13" ht="19.5" customHeight="1">
      <c r="A13" s="81"/>
      <c r="B13" s="68"/>
      <c r="C13" s="70"/>
      <c r="D13" s="70"/>
      <c r="E13" s="70"/>
      <c r="F13" s="84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</row>
    <row r="14" ht="21.75" customHeight="1">
      <c r="A14" s="81"/>
      <c r="B14" s="68"/>
      <c r="C14" s="70"/>
      <c r="D14" s="70"/>
      <c r="E14" s="70"/>
      <c r="F14" s="84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</row>
    <row r="15" ht="19.5" customHeight="1">
      <c r="A15" s="81"/>
      <c r="B15" s="68"/>
      <c r="C15" s="70"/>
      <c r="D15" s="70"/>
      <c r="E15" s="70"/>
      <c r="F15" s="84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</row>
    <row r="16" ht="21.75" customHeight="1">
      <c r="A16" s="81"/>
      <c r="B16" s="68"/>
      <c r="C16" s="70"/>
      <c r="D16" s="70"/>
      <c r="E16" s="70"/>
      <c r="F16" s="84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 ht="19.5" customHeight="1">
      <c r="A17" s="99"/>
      <c r="B17" s="100"/>
      <c r="C17" s="101"/>
      <c r="D17" s="101"/>
      <c r="E17" s="101"/>
      <c r="F17" s="103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</row>
    <row r="18" ht="12.75" customHeight="1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F2"/>
    <mergeCell ref="B4:D4"/>
    <mergeCell ref="B5:D5"/>
    <mergeCell ref="B6:D6"/>
  </mergeCells>
  <printOptions/>
  <pageMargins bottom="0.35138888888888886" footer="0.0" header="0.0" left="0.4701388888888889" right="0.4701388888888889" top="0.5"/>
  <pageSetup paperSize="9" orientation="landscape"/>
  <headerFooter>
    <oddFooter>&amp;L 02ae-BM/PM/HDCV/FSOFT v2/1&amp;CInternal use&amp;R&amp;P/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 outlineLevelRow="1"/>
  <cols>
    <col customWidth="1" min="1" max="1" width="1.38"/>
    <col customWidth="1" min="2" max="2" width="6.38"/>
    <col customWidth="1" min="3" max="3" width="26.5"/>
    <col customWidth="1" min="4" max="4" width="17.13"/>
    <col customWidth="1" min="5" max="5" width="28.13"/>
    <col customWidth="1" min="6" max="6" width="30.63"/>
    <col customWidth="1" min="7" max="26" width="9.0"/>
  </cols>
  <sheetData>
    <row r="1" ht="12.75" customHeight="1">
      <c r="A1" s="3"/>
      <c r="B1" s="5"/>
      <c r="C1" s="7"/>
      <c r="D1" s="11" t="s">
        <v>2</v>
      </c>
      <c r="E1" s="13"/>
      <c r="F1" s="7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3"/>
      <c r="B2" s="5"/>
      <c r="C2" s="7"/>
      <c r="D2" s="30"/>
      <c r="E2" s="30"/>
      <c r="F2" s="7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 customHeight="1">
      <c r="A3" s="3"/>
      <c r="B3" s="42" t="s">
        <v>3</v>
      </c>
      <c r="C3" s="8"/>
      <c r="D3" s="28" t="str">
        <f t="shared" ref="D3:D4" si="1">#REF!</f>
        <v>#REF!</v>
      </c>
      <c r="E3" s="8"/>
      <c r="F3" s="9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 customHeight="1">
      <c r="A4" s="3"/>
      <c r="B4" s="42" t="s">
        <v>8</v>
      </c>
      <c r="C4" s="8"/>
      <c r="D4" s="28" t="str">
        <f t="shared" si="1"/>
        <v>#REF!</v>
      </c>
      <c r="E4" s="8"/>
      <c r="F4" s="9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84.75" customHeight="1">
      <c r="A5" s="36"/>
      <c r="B5" s="78" t="s">
        <v>36</v>
      </c>
      <c r="C5" s="9"/>
      <c r="D5" s="80" t="s">
        <v>38</v>
      </c>
      <c r="E5" s="8"/>
      <c r="F5" s="9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ht="12.75" customHeight="1">
      <c r="A6" s="3"/>
      <c r="B6" s="87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93"/>
      <c r="B7" s="95"/>
      <c r="C7" s="96"/>
      <c r="D7" s="96"/>
      <c r="E7" s="96"/>
      <c r="F7" s="96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 ht="21.0" customHeight="1">
      <c r="A8" s="105"/>
      <c r="B8" s="108" t="s">
        <v>29</v>
      </c>
      <c r="C8" s="111" t="s">
        <v>50</v>
      </c>
      <c r="D8" s="111" t="s">
        <v>51</v>
      </c>
      <c r="E8" s="113" t="s">
        <v>53</v>
      </c>
      <c r="F8" s="116" t="s">
        <v>55</v>
      </c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ht="12.75" customHeight="1">
      <c r="A9" s="3"/>
      <c r="B9" s="121">
        <v>1.0</v>
      </c>
      <c r="C9" s="123" t="s">
        <v>60</v>
      </c>
      <c r="D9" s="128" t="s">
        <v>65</v>
      </c>
      <c r="E9" s="129"/>
      <c r="F9" s="130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3"/>
      <c r="B10" s="121">
        <v>2.0</v>
      </c>
      <c r="C10" s="123" t="s">
        <v>73</v>
      </c>
      <c r="D10" s="128" t="s">
        <v>65</v>
      </c>
      <c r="E10" s="129"/>
      <c r="F10" s="130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3"/>
      <c r="B11" s="121">
        <v>3.0</v>
      </c>
      <c r="C11" s="123" t="s">
        <v>77</v>
      </c>
      <c r="D11" s="128" t="s">
        <v>65</v>
      </c>
      <c r="E11" s="129"/>
      <c r="F11" s="130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3"/>
      <c r="B12" s="121">
        <v>4.0</v>
      </c>
      <c r="C12" s="123" t="s">
        <v>80</v>
      </c>
      <c r="D12" s="128" t="s">
        <v>83</v>
      </c>
      <c r="E12" s="129"/>
      <c r="F12" s="130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3"/>
      <c r="B13" s="121">
        <v>5.0</v>
      </c>
      <c r="C13" s="123" t="s">
        <v>84</v>
      </c>
      <c r="D13" s="128" t="s">
        <v>83</v>
      </c>
      <c r="E13" s="129"/>
      <c r="F13" s="130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3"/>
      <c r="B14" s="121"/>
      <c r="C14" s="123"/>
      <c r="D14" s="139"/>
      <c r="E14" s="139"/>
      <c r="F14" s="130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3"/>
      <c r="B15" s="121"/>
      <c r="C15" s="123"/>
      <c r="D15" s="139"/>
      <c r="E15" s="139"/>
      <c r="F15" s="130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3"/>
      <c r="B16" s="121"/>
      <c r="C16" s="123"/>
      <c r="D16" s="139"/>
      <c r="E16" s="139"/>
      <c r="F16" s="130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3"/>
      <c r="B17" s="121"/>
      <c r="C17" s="123"/>
      <c r="D17" s="139"/>
      <c r="E17" s="139"/>
      <c r="F17" s="130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3"/>
      <c r="B18" s="121"/>
      <c r="C18" s="123"/>
      <c r="D18" s="139"/>
      <c r="E18" s="139"/>
      <c r="F18" s="130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3"/>
      <c r="B19" s="121"/>
      <c r="C19" s="123"/>
      <c r="D19" s="139"/>
      <c r="E19" s="139"/>
      <c r="F19" s="130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3"/>
      <c r="B20" s="121"/>
      <c r="C20" s="123"/>
      <c r="D20" s="139"/>
      <c r="E20" s="139"/>
      <c r="F20" s="130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3"/>
      <c r="B21" s="140"/>
      <c r="C21" s="141"/>
      <c r="D21" s="142"/>
      <c r="E21" s="142"/>
      <c r="F21" s="14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3"/>
      <c r="B22" s="5"/>
      <c r="C22" s="7"/>
      <c r="D22" s="7"/>
      <c r="E22" s="7"/>
      <c r="F22" s="7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3"/>
      <c r="B23" s="5"/>
      <c r="C23" s="7"/>
      <c r="D23" s="7"/>
      <c r="E23" s="7"/>
      <c r="F23" s="7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3"/>
      <c r="B24" s="5"/>
      <c r="C24" s="7"/>
      <c r="D24" s="7"/>
      <c r="E24" s="7"/>
      <c r="F24" s="7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3"/>
      <c r="B25" s="5"/>
      <c r="C25" s="7"/>
      <c r="D25" s="7"/>
      <c r="E25" s="7"/>
      <c r="F25" s="7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3"/>
      <c r="B26" s="5"/>
      <c r="C26" s="7"/>
      <c r="D26" s="7"/>
      <c r="E26" s="7"/>
      <c r="F26" s="7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3"/>
      <c r="B27" s="5"/>
      <c r="C27" s="7"/>
      <c r="D27" s="7"/>
      <c r="E27" s="7"/>
      <c r="F27" s="7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3"/>
      <c r="B28" s="5"/>
      <c r="C28" s="7"/>
      <c r="D28" s="7"/>
      <c r="E28" s="7"/>
      <c r="F28" s="7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3"/>
      <c r="B29" s="5"/>
      <c r="C29" s="7"/>
      <c r="D29" s="7"/>
      <c r="E29" s="7"/>
      <c r="F29" s="7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3"/>
      <c r="B30" s="5"/>
      <c r="C30" s="7"/>
      <c r="D30" s="7"/>
      <c r="E30" s="7"/>
      <c r="F30" s="7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3"/>
      <c r="B31" s="5"/>
      <c r="C31" s="7"/>
      <c r="D31" s="7"/>
      <c r="E31" s="7"/>
      <c r="F31" s="7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3"/>
      <c r="B32" s="5"/>
      <c r="C32" s="7"/>
      <c r="D32" s="7"/>
      <c r="E32" s="7"/>
      <c r="F32" s="7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3"/>
      <c r="B33" s="5"/>
      <c r="C33" s="7"/>
      <c r="D33" s="7"/>
      <c r="E33" s="7"/>
      <c r="F33" s="7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3"/>
      <c r="B34" s="5"/>
      <c r="C34" s="7"/>
      <c r="D34" s="7"/>
      <c r="E34" s="7"/>
      <c r="F34" s="7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3"/>
      <c r="B35" s="5"/>
      <c r="C35" s="7"/>
      <c r="D35" s="7"/>
      <c r="E35" s="7"/>
      <c r="F35" s="7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3"/>
      <c r="B36" s="5"/>
      <c r="C36" s="7"/>
      <c r="D36" s="7"/>
      <c r="E36" s="7"/>
      <c r="F36" s="7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3"/>
      <c r="B37" s="5"/>
      <c r="C37" s="7"/>
      <c r="D37" s="7"/>
      <c r="E37" s="7"/>
      <c r="F37" s="7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3"/>
      <c r="B38" s="5"/>
      <c r="C38" s="7"/>
      <c r="D38" s="7"/>
      <c r="E38" s="7"/>
      <c r="F38" s="7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3"/>
      <c r="B39" s="5"/>
      <c r="C39" s="7"/>
      <c r="D39" s="7"/>
      <c r="E39" s="7"/>
      <c r="F39" s="7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3"/>
      <c r="B40" s="5"/>
      <c r="C40" s="7"/>
      <c r="D40" s="7"/>
      <c r="E40" s="7"/>
      <c r="F40" s="7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3"/>
      <c r="B41" s="5"/>
      <c r="C41" s="7"/>
      <c r="D41" s="7"/>
      <c r="E41" s="7"/>
      <c r="F41" s="7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3"/>
      <c r="B42" s="5"/>
      <c r="C42" s="7"/>
      <c r="D42" s="7"/>
      <c r="E42" s="7"/>
      <c r="F42" s="7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3"/>
      <c r="B43" s="5"/>
      <c r="C43" s="7"/>
      <c r="D43" s="7"/>
      <c r="E43" s="7"/>
      <c r="F43" s="7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3"/>
      <c r="B44" s="5"/>
      <c r="C44" s="7"/>
      <c r="D44" s="7"/>
      <c r="E44" s="7"/>
      <c r="F44" s="7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3"/>
      <c r="B45" s="5"/>
      <c r="C45" s="7"/>
      <c r="D45" s="7"/>
      <c r="E45" s="7"/>
      <c r="F45" s="7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3"/>
      <c r="B46" s="5"/>
      <c r="C46" s="7"/>
      <c r="D46" s="7"/>
      <c r="E46" s="7"/>
      <c r="F46" s="7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3"/>
      <c r="B47" s="5"/>
      <c r="C47" s="7"/>
      <c r="D47" s="7"/>
      <c r="E47" s="7"/>
      <c r="F47" s="7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3"/>
      <c r="B48" s="5"/>
      <c r="C48" s="7"/>
      <c r="D48" s="7"/>
      <c r="E48" s="7"/>
      <c r="F48" s="7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3"/>
      <c r="B49" s="5"/>
      <c r="C49" s="7"/>
      <c r="D49" s="7"/>
      <c r="E49" s="7"/>
      <c r="F49" s="7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3"/>
      <c r="B50" s="5"/>
      <c r="C50" s="7"/>
      <c r="D50" s="7"/>
      <c r="E50" s="7"/>
      <c r="F50" s="7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5"/>
      <c r="C51" s="7"/>
      <c r="D51" s="7"/>
      <c r="E51" s="7"/>
      <c r="F51" s="7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5"/>
      <c r="C52" s="7"/>
      <c r="D52" s="7"/>
      <c r="E52" s="7"/>
      <c r="F52" s="7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5"/>
      <c r="C53" s="7"/>
      <c r="D53" s="7"/>
      <c r="E53" s="7"/>
      <c r="F53" s="7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5"/>
      <c r="C54" s="7"/>
      <c r="D54" s="7"/>
      <c r="E54" s="7"/>
      <c r="F54" s="7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5"/>
      <c r="C55" s="7"/>
      <c r="D55" s="7"/>
      <c r="E55" s="7"/>
      <c r="F55" s="7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5"/>
      <c r="C56" s="7"/>
      <c r="D56" s="7"/>
      <c r="E56" s="7"/>
      <c r="F56" s="7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5"/>
      <c r="C57" s="7"/>
      <c r="D57" s="7"/>
      <c r="E57" s="7"/>
      <c r="F57" s="7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5"/>
      <c r="C58" s="7"/>
      <c r="D58" s="7"/>
      <c r="E58" s="7"/>
      <c r="F58" s="7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5"/>
      <c r="C59" s="7"/>
      <c r="D59" s="7"/>
      <c r="E59" s="7"/>
      <c r="F59" s="7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5"/>
      <c r="C60" s="7"/>
      <c r="D60" s="7"/>
      <c r="E60" s="7"/>
      <c r="F60" s="7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5"/>
      <c r="C61" s="7"/>
      <c r="D61" s="7"/>
      <c r="E61" s="7"/>
      <c r="F61" s="7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5"/>
      <c r="C62" s="7"/>
      <c r="D62" s="7"/>
      <c r="E62" s="7"/>
      <c r="F62" s="7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5"/>
      <c r="C63" s="7"/>
      <c r="D63" s="7"/>
      <c r="E63" s="7"/>
      <c r="F63" s="7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5"/>
      <c r="C64" s="7"/>
      <c r="D64" s="7"/>
      <c r="E64" s="7"/>
      <c r="F64" s="7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5"/>
      <c r="C65" s="7"/>
      <c r="D65" s="7"/>
      <c r="E65" s="7"/>
      <c r="F65" s="7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5"/>
      <c r="C66" s="7"/>
      <c r="D66" s="7"/>
      <c r="E66" s="7"/>
      <c r="F66" s="7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5"/>
      <c r="C67" s="7"/>
      <c r="D67" s="7"/>
      <c r="E67" s="7"/>
      <c r="F67" s="7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5"/>
      <c r="C68" s="7"/>
      <c r="D68" s="7"/>
      <c r="E68" s="7"/>
      <c r="F68" s="7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5"/>
      <c r="C69" s="7"/>
      <c r="D69" s="7"/>
      <c r="E69" s="7"/>
      <c r="F69" s="7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5"/>
      <c r="C70" s="7"/>
      <c r="D70" s="7"/>
      <c r="E70" s="7"/>
      <c r="F70" s="7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5"/>
      <c r="C71" s="7"/>
      <c r="D71" s="7"/>
      <c r="E71" s="7"/>
      <c r="F71" s="7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5"/>
      <c r="C72" s="7"/>
      <c r="D72" s="7"/>
      <c r="E72" s="7"/>
      <c r="F72" s="7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5"/>
      <c r="C73" s="7"/>
      <c r="D73" s="7"/>
      <c r="E73" s="7"/>
      <c r="F73" s="7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5"/>
      <c r="C74" s="7"/>
      <c r="D74" s="7"/>
      <c r="E74" s="7"/>
      <c r="F74" s="7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5"/>
      <c r="C75" s="7"/>
      <c r="D75" s="7"/>
      <c r="E75" s="7"/>
      <c r="F75" s="7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5"/>
      <c r="C76" s="7"/>
      <c r="D76" s="7"/>
      <c r="E76" s="7"/>
      <c r="F76" s="7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5"/>
      <c r="C77" s="7"/>
      <c r="D77" s="7"/>
      <c r="E77" s="7"/>
      <c r="F77" s="7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5"/>
      <c r="C78" s="7"/>
      <c r="D78" s="7"/>
      <c r="E78" s="7"/>
      <c r="F78" s="7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5"/>
      <c r="C79" s="7"/>
      <c r="D79" s="7"/>
      <c r="E79" s="7"/>
      <c r="F79" s="7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5"/>
      <c r="C80" s="7"/>
      <c r="D80" s="7"/>
      <c r="E80" s="7"/>
      <c r="F80" s="7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5"/>
      <c r="C81" s="7"/>
      <c r="D81" s="7"/>
      <c r="E81" s="7"/>
      <c r="F81" s="7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5"/>
      <c r="C82" s="7"/>
      <c r="D82" s="7"/>
      <c r="E82" s="7"/>
      <c r="F82" s="7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5"/>
      <c r="C83" s="7"/>
      <c r="D83" s="7"/>
      <c r="E83" s="7"/>
      <c r="F83" s="7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5"/>
      <c r="C84" s="7"/>
      <c r="D84" s="7"/>
      <c r="E84" s="7"/>
      <c r="F84" s="7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5"/>
      <c r="C85" s="7"/>
      <c r="D85" s="7"/>
      <c r="E85" s="7"/>
      <c r="F85" s="7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5"/>
      <c r="C86" s="7"/>
      <c r="D86" s="7"/>
      <c r="E86" s="7"/>
      <c r="F86" s="7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5"/>
      <c r="C87" s="7"/>
      <c r="D87" s="7"/>
      <c r="E87" s="7"/>
      <c r="F87" s="7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5"/>
      <c r="C88" s="7"/>
      <c r="D88" s="7"/>
      <c r="E88" s="7"/>
      <c r="F88" s="7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5"/>
      <c r="C89" s="7"/>
      <c r="D89" s="7"/>
      <c r="E89" s="7"/>
      <c r="F89" s="7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5"/>
      <c r="C90" s="7"/>
      <c r="D90" s="7"/>
      <c r="E90" s="7"/>
      <c r="F90" s="7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5"/>
      <c r="C91" s="7"/>
      <c r="D91" s="7"/>
      <c r="E91" s="7"/>
      <c r="F91" s="7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5"/>
      <c r="C92" s="7"/>
      <c r="D92" s="7"/>
      <c r="E92" s="7"/>
      <c r="F92" s="7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5"/>
      <c r="C93" s="7"/>
      <c r="D93" s="7"/>
      <c r="E93" s="7"/>
      <c r="F93" s="7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5"/>
      <c r="C94" s="7"/>
      <c r="D94" s="7"/>
      <c r="E94" s="7"/>
      <c r="F94" s="7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5"/>
      <c r="C95" s="7"/>
      <c r="D95" s="7"/>
      <c r="E95" s="7"/>
      <c r="F95" s="7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5"/>
      <c r="C96" s="7"/>
      <c r="D96" s="7"/>
      <c r="E96" s="7"/>
      <c r="F96" s="7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5"/>
      <c r="C97" s="7"/>
      <c r="D97" s="7"/>
      <c r="E97" s="7"/>
      <c r="F97" s="7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5"/>
      <c r="C98" s="7"/>
      <c r="D98" s="7"/>
      <c r="E98" s="7"/>
      <c r="F98" s="7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5"/>
      <c r="C99" s="7"/>
      <c r="D99" s="7"/>
      <c r="E99" s="7"/>
      <c r="F99" s="7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5"/>
      <c r="C100" s="7"/>
      <c r="D100" s="7"/>
      <c r="E100" s="7"/>
      <c r="F100" s="7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5"/>
      <c r="C101" s="7"/>
      <c r="D101" s="7"/>
      <c r="E101" s="7"/>
      <c r="F101" s="7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5"/>
      <c r="C102" s="7"/>
      <c r="D102" s="7"/>
      <c r="E102" s="7"/>
      <c r="F102" s="7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5"/>
      <c r="C103" s="7"/>
      <c r="D103" s="7"/>
      <c r="E103" s="7"/>
      <c r="F103" s="7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5"/>
      <c r="C104" s="7"/>
      <c r="D104" s="7"/>
      <c r="E104" s="7"/>
      <c r="F104" s="7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5"/>
      <c r="C105" s="7"/>
      <c r="D105" s="7"/>
      <c r="E105" s="7"/>
      <c r="F105" s="7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5"/>
      <c r="C106" s="7"/>
      <c r="D106" s="7"/>
      <c r="E106" s="7"/>
      <c r="F106" s="7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5"/>
      <c r="C107" s="7"/>
      <c r="D107" s="7"/>
      <c r="E107" s="7"/>
      <c r="F107" s="7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5"/>
      <c r="C108" s="7"/>
      <c r="D108" s="7"/>
      <c r="E108" s="7"/>
      <c r="F108" s="7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5"/>
      <c r="C109" s="7"/>
      <c r="D109" s="7"/>
      <c r="E109" s="7"/>
      <c r="F109" s="7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5"/>
      <c r="C110" s="7"/>
      <c r="D110" s="7"/>
      <c r="E110" s="7"/>
      <c r="F110" s="7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5"/>
      <c r="C111" s="7"/>
      <c r="D111" s="7"/>
      <c r="E111" s="7"/>
      <c r="F111" s="7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5"/>
      <c r="C112" s="7"/>
      <c r="D112" s="7"/>
      <c r="E112" s="7"/>
      <c r="F112" s="7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5"/>
      <c r="C113" s="7"/>
      <c r="D113" s="7"/>
      <c r="E113" s="7"/>
      <c r="F113" s="7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5"/>
      <c r="C114" s="7"/>
      <c r="D114" s="7"/>
      <c r="E114" s="7"/>
      <c r="F114" s="7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5"/>
      <c r="C115" s="7"/>
      <c r="D115" s="7"/>
      <c r="E115" s="7"/>
      <c r="F115" s="7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5"/>
      <c r="C116" s="7"/>
      <c r="D116" s="7"/>
      <c r="E116" s="7"/>
      <c r="F116" s="7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5"/>
      <c r="C117" s="7"/>
      <c r="D117" s="7"/>
      <c r="E117" s="7"/>
      <c r="F117" s="7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5"/>
      <c r="C118" s="7"/>
      <c r="D118" s="7"/>
      <c r="E118" s="7"/>
      <c r="F118" s="7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5"/>
      <c r="C119" s="7"/>
      <c r="D119" s="7"/>
      <c r="E119" s="7"/>
      <c r="F119" s="7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5"/>
      <c r="C120" s="7"/>
      <c r="D120" s="7"/>
      <c r="E120" s="7"/>
      <c r="F120" s="7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5"/>
      <c r="C121" s="7"/>
      <c r="D121" s="7"/>
      <c r="E121" s="7"/>
      <c r="F121" s="7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5"/>
      <c r="C122" s="7"/>
      <c r="D122" s="7"/>
      <c r="E122" s="7"/>
      <c r="F122" s="7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5"/>
      <c r="C123" s="7"/>
      <c r="D123" s="7"/>
      <c r="E123" s="7"/>
      <c r="F123" s="7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5"/>
      <c r="C124" s="7"/>
      <c r="D124" s="7"/>
      <c r="E124" s="7"/>
      <c r="F124" s="7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5"/>
      <c r="C125" s="7"/>
      <c r="D125" s="7"/>
      <c r="E125" s="7"/>
      <c r="F125" s="7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5"/>
      <c r="C126" s="7"/>
      <c r="D126" s="7"/>
      <c r="E126" s="7"/>
      <c r="F126" s="7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5"/>
      <c r="C127" s="7"/>
      <c r="D127" s="7"/>
      <c r="E127" s="7"/>
      <c r="F127" s="7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5"/>
      <c r="C128" s="7"/>
      <c r="D128" s="7"/>
      <c r="E128" s="7"/>
      <c r="F128" s="7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5"/>
      <c r="C129" s="7"/>
      <c r="D129" s="7"/>
      <c r="E129" s="7"/>
      <c r="F129" s="7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5"/>
      <c r="C130" s="7"/>
      <c r="D130" s="7"/>
      <c r="E130" s="7"/>
      <c r="F130" s="7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5"/>
      <c r="C131" s="7"/>
      <c r="D131" s="7"/>
      <c r="E131" s="7"/>
      <c r="F131" s="7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5"/>
      <c r="C132" s="7"/>
      <c r="D132" s="7"/>
      <c r="E132" s="7"/>
      <c r="F132" s="7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5"/>
      <c r="C133" s="7"/>
      <c r="D133" s="7"/>
      <c r="E133" s="7"/>
      <c r="F133" s="7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5"/>
      <c r="C134" s="7"/>
      <c r="D134" s="7"/>
      <c r="E134" s="7"/>
      <c r="F134" s="7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5"/>
      <c r="C135" s="7"/>
      <c r="D135" s="7"/>
      <c r="E135" s="7"/>
      <c r="F135" s="7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5"/>
      <c r="C136" s="7"/>
      <c r="D136" s="7"/>
      <c r="E136" s="7"/>
      <c r="F136" s="7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5"/>
      <c r="C137" s="7"/>
      <c r="D137" s="7"/>
      <c r="E137" s="7"/>
      <c r="F137" s="7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5"/>
      <c r="C138" s="7"/>
      <c r="D138" s="7"/>
      <c r="E138" s="7"/>
      <c r="F138" s="7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5"/>
      <c r="C139" s="7"/>
      <c r="D139" s="7"/>
      <c r="E139" s="7"/>
      <c r="F139" s="7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5"/>
      <c r="C140" s="7"/>
      <c r="D140" s="7"/>
      <c r="E140" s="7"/>
      <c r="F140" s="7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5"/>
      <c r="C141" s="7"/>
      <c r="D141" s="7"/>
      <c r="E141" s="7"/>
      <c r="F141" s="7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5"/>
      <c r="C142" s="7"/>
      <c r="D142" s="7"/>
      <c r="E142" s="7"/>
      <c r="F142" s="7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5"/>
      <c r="C143" s="7"/>
      <c r="D143" s="7"/>
      <c r="E143" s="7"/>
      <c r="F143" s="7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5"/>
      <c r="C144" s="7"/>
      <c r="D144" s="7"/>
      <c r="E144" s="7"/>
      <c r="F144" s="7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5"/>
      <c r="C145" s="7"/>
      <c r="D145" s="7"/>
      <c r="E145" s="7"/>
      <c r="F145" s="7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5"/>
      <c r="C146" s="7"/>
      <c r="D146" s="7"/>
      <c r="E146" s="7"/>
      <c r="F146" s="7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5"/>
      <c r="C147" s="7"/>
      <c r="D147" s="7"/>
      <c r="E147" s="7"/>
      <c r="F147" s="7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5"/>
      <c r="C148" s="7"/>
      <c r="D148" s="7"/>
      <c r="E148" s="7"/>
      <c r="F148" s="7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5"/>
      <c r="C149" s="7"/>
      <c r="D149" s="7"/>
      <c r="E149" s="7"/>
      <c r="F149" s="7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5"/>
      <c r="C150" s="7"/>
      <c r="D150" s="7"/>
      <c r="E150" s="7"/>
      <c r="F150" s="7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5"/>
      <c r="C151" s="7"/>
      <c r="D151" s="7"/>
      <c r="E151" s="7"/>
      <c r="F151" s="7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5"/>
      <c r="C152" s="7"/>
      <c r="D152" s="7"/>
      <c r="E152" s="7"/>
      <c r="F152" s="7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5"/>
      <c r="C153" s="7"/>
      <c r="D153" s="7"/>
      <c r="E153" s="7"/>
      <c r="F153" s="7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5"/>
      <c r="C154" s="7"/>
      <c r="D154" s="7"/>
      <c r="E154" s="7"/>
      <c r="F154" s="7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5"/>
      <c r="C155" s="7"/>
      <c r="D155" s="7"/>
      <c r="E155" s="7"/>
      <c r="F155" s="7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5"/>
      <c r="C156" s="7"/>
      <c r="D156" s="7"/>
      <c r="E156" s="7"/>
      <c r="F156" s="7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5"/>
      <c r="C157" s="7"/>
      <c r="D157" s="7"/>
      <c r="E157" s="7"/>
      <c r="F157" s="7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5"/>
      <c r="C158" s="7"/>
      <c r="D158" s="7"/>
      <c r="E158" s="7"/>
      <c r="F158" s="7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5"/>
      <c r="C159" s="7"/>
      <c r="D159" s="7"/>
      <c r="E159" s="7"/>
      <c r="F159" s="7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5"/>
      <c r="C160" s="7"/>
      <c r="D160" s="7"/>
      <c r="E160" s="7"/>
      <c r="F160" s="7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5"/>
      <c r="C161" s="7"/>
      <c r="D161" s="7"/>
      <c r="E161" s="7"/>
      <c r="F161" s="7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5"/>
      <c r="C162" s="7"/>
      <c r="D162" s="7"/>
      <c r="E162" s="7"/>
      <c r="F162" s="7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5"/>
      <c r="C163" s="7"/>
      <c r="D163" s="7"/>
      <c r="E163" s="7"/>
      <c r="F163" s="7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5"/>
      <c r="C164" s="7"/>
      <c r="D164" s="7"/>
      <c r="E164" s="7"/>
      <c r="F164" s="7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5"/>
      <c r="C165" s="7"/>
      <c r="D165" s="7"/>
      <c r="E165" s="7"/>
      <c r="F165" s="7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5"/>
      <c r="C166" s="7"/>
      <c r="D166" s="7"/>
      <c r="E166" s="7"/>
      <c r="F166" s="7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5"/>
      <c r="C167" s="7"/>
      <c r="D167" s="7"/>
      <c r="E167" s="7"/>
      <c r="F167" s="7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5"/>
      <c r="C168" s="7"/>
      <c r="D168" s="7"/>
      <c r="E168" s="7"/>
      <c r="F168" s="7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5"/>
      <c r="C169" s="7"/>
      <c r="D169" s="7"/>
      <c r="E169" s="7"/>
      <c r="F169" s="7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5"/>
      <c r="C170" s="7"/>
      <c r="D170" s="7"/>
      <c r="E170" s="7"/>
      <c r="F170" s="7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5"/>
      <c r="C171" s="7"/>
      <c r="D171" s="7"/>
      <c r="E171" s="7"/>
      <c r="F171" s="7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5"/>
      <c r="C172" s="7"/>
      <c r="D172" s="7"/>
      <c r="E172" s="7"/>
      <c r="F172" s="7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5"/>
      <c r="C173" s="7"/>
      <c r="D173" s="7"/>
      <c r="E173" s="7"/>
      <c r="F173" s="7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5"/>
      <c r="C174" s="7"/>
      <c r="D174" s="7"/>
      <c r="E174" s="7"/>
      <c r="F174" s="7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5"/>
      <c r="C175" s="7"/>
      <c r="D175" s="7"/>
      <c r="E175" s="7"/>
      <c r="F175" s="7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5"/>
      <c r="C176" s="7"/>
      <c r="D176" s="7"/>
      <c r="E176" s="7"/>
      <c r="F176" s="7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5"/>
      <c r="C177" s="7"/>
      <c r="D177" s="7"/>
      <c r="E177" s="7"/>
      <c r="F177" s="7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5"/>
      <c r="C178" s="7"/>
      <c r="D178" s="7"/>
      <c r="E178" s="7"/>
      <c r="F178" s="7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5"/>
      <c r="C179" s="7"/>
      <c r="D179" s="7"/>
      <c r="E179" s="7"/>
      <c r="F179" s="7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5"/>
      <c r="C180" s="7"/>
      <c r="D180" s="7"/>
      <c r="E180" s="7"/>
      <c r="F180" s="7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5"/>
      <c r="C181" s="7"/>
      <c r="D181" s="7"/>
      <c r="E181" s="7"/>
      <c r="F181" s="7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5"/>
      <c r="C182" s="7"/>
      <c r="D182" s="7"/>
      <c r="E182" s="7"/>
      <c r="F182" s="7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5"/>
      <c r="C183" s="7"/>
      <c r="D183" s="7"/>
      <c r="E183" s="7"/>
      <c r="F183" s="7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5"/>
      <c r="C184" s="7"/>
      <c r="D184" s="7"/>
      <c r="E184" s="7"/>
      <c r="F184" s="7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5"/>
      <c r="C185" s="7"/>
      <c r="D185" s="7"/>
      <c r="E185" s="7"/>
      <c r="F185" s="7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5"/>
      <c r="C186" s="7"/>
      <c r="D186" s="7"/>
      <c r="E186" s="7"/>
      <c r="F186" s="7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5"/>
      <c r="C187" s="7"/>
      <c r="D187" s="7"/>
      <c r="E187" s="7"/>
      <c r="F187" s="7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5"/>
      <c r="C188" s="7"/>
      <c r="D188" s="7"/>
      <c r="E188" s="7"/>
      <c r="F188" s="7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5"/>
      <c r="C189" s="7"/>
      <c r="D189" s="7"/>
      <c r="E189" s="7"/>
      <c r="F189" s="7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5"/>
      <c r="C190" s="7"/>
      <c r="D190" s="7"/>
      <c r="E190" s="7"/>
      <c r="F190" s="7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5"/>
      <c r="C191" s="7"/>
      <c r="D191" s="7"/>
      <c r="E191" s="7"/>
      <c r="F191" s="7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5"/>
      <c r="C192" s="7"/>
      <c r="D192" s="7"/>
      <c r="E192" s="7"/>
      <c r="F192" s="7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5"/>
      <c r="C193" s="7"/>
      <c r="D193" s="7"/>
      <c r="E193" s="7"/>
      <c r="F193" s="7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5"/>
      <c r="C194" s="7"/>
      <c r="D194" s="7"/>
      <c r="E194" s="7"/>
      <c r="F194" s="7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5"/>
      <c r="C195" s="7"/>
      <c r="D195" s="7"/>
      <c r="E195" s="7"/>
      <c r="F195" s="7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5"/>
      <c r="C196" s="7"/>
      <c r="D196" s="7"/>
      <c r="E196" s="7"/>
      <c r="F196" s="7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5"/>
      <c r="C197" s="7"/>
      <c r="D197" s="7"/>
      <c r="E197" s="7"/>
      <c r="F197" s="7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5"/>
      <c r="C198" s="7"/>
      <c r="D198" s="7"/>
      <c r="E198" s="7"/>
      <c r="F198" s="7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5"/>
      <c r="C199" s="7"/>
      <c r="D199" s="7"/>
      <c r="E199" s="7"/>
      <c r="F199" s="7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5"/>
      <c r="C200" s="7"/>
      <c r="D200" s="7"/>
      <c r="E200" s="7"/>
      <c r="F200" s="7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5"/>
      <c r="C201" s="7"/>
      <c r="D201" s="7"/>
      <c r="E201" s="7"/>
      <c r="F201" s="7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5"/>
      <c r="C202" s="7"/>
      <c r="D202" s="7"/>
      <c r="E202" s="7"/>
      <c r="F202" s="7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5"/>
      <c r="C203" s="7"/>
      <c r="D203" s="7"/>
      <c r="E203" s="7"/>
      <c r="F203" s="7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5"/>
      <c r="C204" s="7"/>
      <c r="D204" s="7"/>
      <c r="E204" s="7"/>
      <c r="F204" s="7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5"/>
      <c r="C205" s="7"/>
      <c r="D205" s="7"/>
      <c r="E205" s="7"/>
      <c r="F205" s="7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5"/>
      <c r="C206" s="7"/>
      <c r="D206" s="7"/>
      <c r="E206" s="7"/>
      <c r="F206" s="7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5"/>
      <c r="C207" s="7"/>
      <c r="D207" s="7"/>
      <c r="E207" s="7"/>
      <c r="F207" s="7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5"/>
      <c r="C208" s="7"/>
      <c r="D208" s="7"/>
      <c r="E208" s="7"/>
      <c r="F208" s="7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5"/>
      <c r="C209" s="7"/>
      <c r="D209" s="7"/>
      <c r="E209" s="7"/>
      <c r="F209" s="7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5"/>
      <c r="C210" s="7"/>
      <c r="D210" s="7"/>
      <c r="E210" s="7"/>
      <c r="F210" s="7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5"/>
      <c r="C211" s="7"/>
      <c r="D211" s="7"/>
      <c r="E211" s="7"/>
      <c r="F211" s="7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5"/>
      <c r="C212" s="7"/>
      <c r="D212" s="7"/>
      <c r="E212" s="7"/>
      <c r="F212" s="7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5"/>
      <c r="C213" s="7"/>
      <c r="D213" s="7"/>
      <c r="E213" s="7"/>
      <c r="F213" s="7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5"/>
      <c r="C214" s="7"/>
      <c r="D214" s="7"/>
      <c r="E214" s="7"/>
      <c r="F214" s="7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5"/>
      <c r="C215" s="7"/>
      <c r="D215" s="7"/>
      <c r="E215" s="7"/>
      <c r="F215" s="7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5"/>
      <c r="C216" s="7"/>
      <c r="D216" s="7"/>
      <c r="E216" s="7"/>
      <c r="F216" s="7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5"/>
      <c r="C217" s="7"/>
      <c r="D217" s="7"/>
      <c r="E217" s="7"/>
      <c r="F217" s="7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5"/>
      <c r="C218" s="7"/>
      <c r="D218" s="7"/>
      <c r="E218" s="7"/>
      <c r="F218" s="7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5"/>
      <c r="C219" s="7"/>
      <c r="D219" s="7"/>
      <c r="E219" s="7"/>
      <c r="F219" s="7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5"/>
      <c r="C220" s="7"/>
      <c r="D220" s="7"/>
      <c r="E220" s="7"/>
      <c r="F220" s="7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3:C3"/>
    <mergeCell ref="D3:F3"/>
    <mergeCell ref="B4:C4"/>
    <mergeCell ref="D4:F4"/>
    <mergeCell ref="B5:C5"/>
    <mergeCell ref="D5:F5"/>
  </mergeCells>
  <hyperlinks>
    <hyperlink display="Workflow Name1" location="'Đăng nhập &amp; Quên mật khẩu'!A1" ref="D9"/>
    <hyperlink display="Workflow Name1" location="'Đăng nhập &amp; Quên mật khẩu'!A1" ref="D10"/>
    <hyperlink display="Workflow Name1" location="'Đăng nhập &amp; Quên mật khẩu'!A1" ref="D11"/>
    <hyperlink display="Workflow Name2" location="ok!A1" ref="D12"/>
    <hyperlink display="Workflow Name2" location="ok!A1" ref="D13"/>
  </hyperlinks>
  <printOptions/>
  <pageMargins bottom="1.1506944444444445" footer="0.0" header="0.0" left="0.7479166666666667" right="0.7479166666666667" top="0.9840277777777778"/>
  <pageSetup paperSize="9" orientation="landscape"/>
  <headerFooter>
    <oddFooter>&amp;L 02ae-BM/PM/HDCV/FSOFT v2/0&amp;CInternal use&amp;R&amp;P/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 outlineLevelRow="1"/>
  <cols>
    <col customWidth="1" min="1" max="1" width="4.5"/>
    <col customWidth="1" min="2" max="2" width="18.38"/>
    <col customWidth="1" min="3" max="3" width="19.38"/>
    <col customWidth="1" min="4" max="6" width="11.63"/>
    <col customWidth="1" min="7" max="7" width="9.0"/>
    <col customWidth="1" min="8" max="8" width="35.5"/>
    <col customWidth="1" min="9" max="26" width="9.0"/>
  </cols>
  <sheetData>
    <row r="1" ht="25.5" customHeight="1">
      <c r="A1" s="3"/>
      <c r="B1" s="12" t="s">
        <v>1</v>
      </c>
      <c r="C1" s="15"/>
      <c r="D1" s="15"/>
      <c r="E1" s="15"/>
      <c r="F1" s="15"/>
      <c r="G1" s="15"/>
      <c r="H1" s="15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18"/>
      <c r="B2" s="18"/>
      <c r="C2" s="3"/>
      <c r="D2" s="3"/>
      <c r="E2" s="3"/>
      <c r="F2" s="3"/>
      <c r="G2" s="3"/>
      <c r="H2" s="21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0" customHeight="1">
      <c r="A3" s="3"/>
      <c r="B3" s="25" t="s">
        <v>3</v>
      </c>
      <c r="C3" s="28" t="s">
        <v>4</v>
      </c>
      <c r="D3" s="9"/>
      <c r="E3" s="31" t="s">
        <v>5</v>
      </c>
      <c r="F3" s="9"/>
      <c r="G3" s="32"/>
      <c r="H3" s="34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0" customHeight="1">
      <c r="A4" s="3"/>
      <c r="B4" s="25" t="s">
        <v>8</v>
      </c>
      <c r="C4" s="28" t="s">
        <v>9</v>
      </c>
      <c r="D4" s="9"/>
      <c r="E4" s="31" t="s">
        <v>13</v>
      </c>
      <c r="F4" s="9"/>
      <c r="G4" s="32"/>
      <c r="H4" s="3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0" customHeight="1">
      <c r="A5" s="3"/>
      <c r="B5" s="40" t="s">
        <v>12</v>
      </c>
      <c r="C5" s="28" t="str">
        <f>C4&amp;"_"&amp;"Test Report"&amp;"_"&amp;"vx.x"</f>
        <v>&lt;Project Code&gt;_Test Report_vx.x</v>
      </c>
      <c r="D5" s="9"/>
      <c r="E5" s="31" t="s">
        <v>10</v>
      </c>
      <c r="F5" s="9"/>
      <c r="G5" s="32"/>
      <c r="H5" s="47" t="s">
        <v>11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18"/>
      <c r="B6" s="40" t="s">
        <v>18</v>
      </c>
      <c r="C6" s="50" t="s">
        <v>19</v>
      </c>
      <c r="D6" s="8"/>
      <c r="E6" s="8"/>
      <c r="F6" s="8"/>
      <c r="G6" s="8"/>
      <c r="H6" s="9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18"/>
      <c r="B7" s="51"/>
      <c r="C7" s="52"/>
      <c r="D7" s="3"/>
      <c r="E7" s="3"/>
      <c r="F7" s="3"/>
      <c r="G7" s="3"/>
      <c r="H7" s="21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3"/>
      <c r="B8" s="51"/>
      <c r="C8" s="52"/>
      <c r="D8" s="3"/>
      <c r="E8" s="3"/>
      <c r="F8" s="3"/>
      <c r="G8" s="3"/>
      <c r="H8" s="21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58"/>
      <c r="B10" s="59" t="s">
        <v>29</v>
      </c>
      <c r="C10" s="60" t="s">
        <v>30</v>
      </c>
      <c r="D10" s="62" t="s">
        <v>14</v>
      </c>
      <c r="E10" s="60" t="s">
        <v>20</v>
      </c>
      <c r="F10" s="60" t="s">
        <v>28</v>
      </c>
      <c r="G10" s="64" t="s">
        <v>32</v>
      </c>
      <c r="H10" s="65" t="s">
        <v>33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58"/>
      <c r="B11" s="72">
        <v>1.0</v>
      </c>
      <c r="C11" s="77" t="str">
        <f>'Đăng nhập &amp; Quên mật khẩu'!B2</f>
        <v>&lt;Workflow Name1&gt;</v>
      </c>
      <c r="D11" s="79">
        <f>'Đăng nhập &amp; Quên mật khẩu'!B6</f>
        <v>0</v>
      </c>
      <c r="E11" s="79">
        <f>'Đăng nhập &amp; Quên mật khẩu'!C6</f>
        <v>0</v>
      </c>
      <c r="F11" s="79">
        <f>'Đăng nhập &amp; Quên mật khẩu'!D6</f>
        <v>6</v>
      </c>
      <c r="G11" s="79">
        <f>'Đăng nhập &amp; Quên mật khẩu'!E6</f>
        <v>0</v>
      </c>
      <c r="H11" s="83">
        <f>'Đăng nhập &amp; Quên mật khẩu'!B4</f>
        <v>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58"/>
      <c r="B12" s="72">
        <v>2.0</v>
      </c>
      <c r="C12" s="77" t="str">
        <f>ok!B2</f>
        <v>&lt;Workflow Name2&gt;</v>
      </c>
      <c r="D12" s="79">
        <f>ok!B6</f>
        <v>0</v>
      </c>
      <c r="E12" s="79">
        <f>ok!C6</f>
        <v>0</v>
      </c>
      <c r="F12" s="79">
        <f>ok!D6</f>
        <v>5</v>
      </c>
      <c r="G12" s="79">
        <f>ok!E6</f>
        <v>0</v>
      </c>
      <c r="H12" s="79">
        <f>ok!B4</f>
        <v>12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58"/>
      <c r="B13" s="72"/>
      <c r="C13" s="77"/>
      <c r="D13" s="79"/>
      <c r="E13" s="79"/>
      <c r="F13" s="79"/>
      <c r="G13" s="88"/>
      <c r="H13" s="8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58"/>
      <c r="B14" s="92"/>
      <c r="C14" s="94" t="s">
        <v>41</v>
      </c>
      <c r="D14" s="98">
        <f t="shared" ref="D14:H14" si="1">SUM(D9:D13)</f>
        <v>0</v>
      </c>
      <c r="E14" s="98">
        <f t="shared" si="1"/>
        <v>0</v>
      </c>
      <c r="F14" s="98">
        <f t="shared" si="1"/>
        <v>11</v>
      </c>
      <c r="G14" s="98">
        <f t="shared" si="1"/>
        <v>0</v>
      </c>
      <c r="H14" s="102">
        <f t="shared" si="1"/>
        <v>20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3"/>
      <c r="B15" s="106"/>
      <c r="C15" s="3"/>
      <c r="D15" s="109"/>
      <c r="E15" s="110"/>
      <c r="F15" s="110"/>
      <c r="G15" s="110"/>
      <c r="H15" s="110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3"/>
      <c r="B16" s="3"/>
      <c r="C16" s="14" t="s">
        <v>56</v>
      </c>
      <c r="D16" s="3"/>
      <c r="E16" s="119">
        <f>(D14+E14)*100/(H14-G14)</f>
        <v>0</v>
      </c>
      <c r="F16" s="3" t="s">
        <v>57</v>
      </c>
      <c r="G16" s="3"/>
      <c r="H16" s="97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3"/>
      <c r="B17" s="3"/>
      <c r="C17" s="14" t="s">
        <v>62</v>
      </c>
      <c r="D17" s="3"/>
      <c r="E17" s="119">
        <f>D14*100/(H14-G14)</f>
        <v>0</v>
      </c>
      <c r="F17" s="3" t="s">
        <v>57</v>
      </c>
      <c r="G17" s="3"/>
      <c r="H17" s="97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rintOptions/>
  <pageMargins bottom="0.9840277777777777" footer="0.0" header="0.0" left="0.7479166666666667" right="0.7479166666666667" top="0.9840277777777778"/>
  <pageSetup orientation="landscape"/>
  <headerFooter>
    <oddFooter>&amp;L 02ae-BM/PM/HDCV/FSOFT v2/0&amp;CInternal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17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23" t="s">
        <v>6</v>
      </c>
      <c r="B2" s="24" t="s">
        <v>7</v>
      </c>
      <c r="C2" s="26"/>
      <c r="D2" s="26"/>
      <c r="E2" s="27"/>
      <c r="F2" s="29"/>
      <c r="G2" s="35"/>
      <c r="H2" s="36"/>
      <c r="I2" s="29"/>
      <c r="J2" s="35"/>
      <c r="K2" s="36"/>
      <c r="L2" s="29"/>
      <c r="M2" s="35"/>
      <c r="N2" s="36"/>
      <c r="O2" s="36"/>
      <c r="P2" s="36"/>
      <c r="Q2" s="38"/>
      <c r="R2" s="39" t="s">
        <v>14</v>
      </c>
      <c r="S2" s="39"/>
      <c r="T2" s="39"/>
      <c r="U2" s="39"/>
      <c r="V2" s="39"/>
      <c r="W2" s="39"/>
      <c r="X2" s="39"/>
      <c r="Y2" s="39"/>
      <c r="Z2" s="39"/>
    </row>
    <row r="3" ht="12.75" customHeight="1">
      <c r="A3" s="44" t="s">
        <v>16</v>
      </c>
      <c r="B3" s="45" t="s">
        <v>17</v>
      </c>
      <c r="C3" s="8"/>
      <c r="D3" s="8"/>
      <c r="E3" s="46"/>
      <c r="F3" s="29"/>
      <c r="G3" s="35"/>
      <c r="H3" s="36"/>
      <c r="I3" s="29"/>
      <c r="J3" s="35"/>
      <c r="K3" s="36"/>
      <c r="L3" s="29"/>
      <c r="M3" s="35"/>
      <c r="N3" s="36"/>
      <c r="O3" s="36"/>
      <c r="P3" s="36"/>
      <c r="Q3" s="38"/>
      <c r="R3" s="39" t="s">
        <v>20</v>
      </c>
      <c r="S3" s="39"/>
      <c r="T3" s="39"/>
      <c r="U3" s="39"/>
      <c r="V3" s="39"/>
      <c r="W3" s="39"/>
      <c r="X3" s="39"/>
      <c r="Y3" s="39"/>
      <c r="Z3" s="39"/>
    </row>
    <row r="4" ht="18.0" customHeight="1">
      <c r="A4" s="44" t="s">
        <v>21</v>
      </c>
      <c r="B4" s="45">
        <f>COUNTA(A12:A1000)</f>
        <v>8</v>
      </c>
      <c r="C4" s="8"/>
      <c r="D4" s="8"/>
      <c r="E4" s="46"/>
      <c r="F4" s="29"/>
      <c r="G4" s="35"/>
      <c r="H4" s="36"/>
      <c r="I4" s="29"/>
      <c r="J4" s="35"/>
      <c r="K4" s="36"/>
      <c r="L4" s="29"/>
      <c r="M4" s="35"/>
      <c r="N4" s="36"/>
      <c r="O4" s="36"/>
      <c r="P4" s="36"/>
      <c r="Q4" s="38"/>
      <c r="R4" s="39" t="s">
        <v>28</v>
      </c>
      <c r="S4" s="39"/>
      <c r="T4" s="39"/>
      <c r="U4" s="39"/>
      <c r="V4" s="39"/>
      <c r="W4" s="39"/>
      <c r="X4" s="39"/>
      <c r="Y4" s="39"/>
      <c r="Z4" s="39"/>
    </row>
    <row r="5" ht="19.5" customHeight="1">
      <c r="A5" s="61" t="s">
        <v>31</v>
      </c>
      <c r="B5" s="63" t="s">
        <v>14</v>
      </c>
      <c r="C5" s="63" t="s">
        <v>20</v>
      </c>
      <c r="D5" s="63" t="s">
        <v>28</v>
      </c>
      <c r="E5" s="67" t="s">
        <v>32</v>
      </c>
      <c r="F5" s="69"/>
      <c r="G5" s="69"/>
      <c r="H5" s="71"/>
      <c r="I5" s="69"/>
      <c r="J5" s="69"/>
      <c r="K5" s="71"/>
      <c r="L5" s="69"/>
      <c r="M5" s="69"/>
      <c r="N5" s="71"/>
      <c r="O5" s="71"/>
      <c r="P5" s="71"/>
      <c r="Q5" s="76"/>
      <c r="R5" s="39" t="s">
        <v>32</v>
      </c>
      <c r="S5" s="39"/>
      <c r="T5" s="39"/>
      <c r="U5" s="39"/>
      <c r="V5" s="39"/>
      <c r="W5" s="39"/>
      <c r="X5" s="39"/>
      <c r="Y5" s="39"/>
      <c r="Z5" s="39"/>
    </row>
    <row r="6" ht="15.0" customHeight="1">
      <c r="A6" s="61" t="s">
        <v>37</v>
      </c>
      <c r="B6" s="82">
        <f t="shared" ref="B6:E6" si="1">COUNTIF($F10:$F998,B5)</f>
        <v>0</v>
      </c>
      <c r="C6" s="82">
        <f t="shared" si="1"/>
        <v>0</v>
      </c>
      <c r="D6" s="82">
        <f t="shared" si="1"/>
        <v>6</v>
      </c>
      <c r="E6" s="85">
        <f t="shared" si="1"/>
        <v>0</v>
      </c>
      <c r="F6" s="86"/>
      <c r="G6" s="86"/>
      <c r="H6" s="71"/>
      <c r="I6" s="86"/>
      <c r="J6" s="86"/>
      <c r="K6" s="71"/>
      <c r="L6" s="86"/>
      <c r="M6" s="86"/>
      <c r="N6" s="71"/>
      <c r="O6" s="71"/>
      <c r="P6" s="71"/>
      <c r="Q6" s="76"/>
      <c r="R6" s="39"/>
      <c r="S6" s="39"/>
      <c r="T6" s="39"/>
      <c r="U6" s="39"/>
      <c r="V6" s="39"/>
      <c r="W6" s="39"/>
      <c r="X6" s="39"/>
      <c r="Y6" s="39"/>
      <c r="Z6" s="39"/>
    </row>
    <row r="7" ht="15.0" customHeight="1">
      <c r="A7" s="61" t="s">
        <v>39</v>
      </c>
      <c r="B7" s="82">
        <f t="shared" ref="B7:E7" si="2">COUNTIF($F10:$F998,B5)</f>
        <v>0</v>
      </c>
      <c r="C7" s="82">
        <f t="shared" si="2"/>
        <v>0</v>
      </c>
      <c r="D7" s="82">
        <f t="shared" si="2"/>
        <v>6</v>
      </c>
      <c r="E7" s="85">
        <f t="shared" si="2"/>
        <v>0</v>
      </c>
      <c r="F7" s="86"/>
      <c r="G7" s="86"/>
      <c r="H7" s="71"/>
      <c r="I7" s="86"/>
      <c r="J7" s="86"/>
      <c r="K7" s="71"/>
      <c r="L7" s="86"/>
      <c r="M7" s="86"/>
      <c r="N7" s="71"/>
      <c r="O7" s="71"/>
      <c r="P7" s="71"/>
      <c r="Q7" s="76"/>
      <c r="R7" s="39"/>
      <c r="S7" s="39"/>
      <c r="T7" s="39"/>
      <c r="U7" s="39"/>
      <c r="V7" s="39"/>
      <c r="W7" s="39"/>
      <c r="X7" s="39"/>
      <c r="Y7" s="39"/>
      <c r="Z7" s="39"/>
    </row>
    <row r="8" ht="15.0" customHeight="1">
      <c r="A8" s="89" t="s">
        <v>40</v>
      </c>
      <c r="B8" s="90">
        <f t="shared" ref="B8:E8" si="3">COUNTIF($F10:$F998,B5)</f>
        <v>0</v>
      </c>
      <c r="C8" s="90">
        <f t="shared" si="3"/>
        <v>0</v>
      </c>
      <c r="D8" s="90">
        <f t="shared" si="3"/>
        <v>6</v>
      </c>
      <c r="E8" s="91">
        <f t="shared" si="3"/>
        <v>0</v>
      </c>
      <c r="F8" s="86"/>
      <c r="G8" s="86"/>
      <c r="H8" s="71"/>
      <c r="I8" s="86"/>
      <c r="J8" s="86"/>
      <c r="K8" s="71"/>
      <c r="L8" s="86"/>
      <c r="M8" s="86"/>
      <c r="N8" s="71"/>
      <c r="O8" s="71"/>
      <c r="P8" s="71"/>
      <c r="Q8" s="76"/>
      <c r="R8" s="39"/>
      <c r="S8" s="39"/>
      <c r="T8" s="39"/>
      <c r="U8" s="39"/>
      <c r="V8" s="39"/>
      <c r="W8" s="39"/>
      <c r="X8" s="39"/>
      <c r="Y8" s="39"/>
      <c r="Z8" s="39"/>
    </row>
    <row r="9" ht="15.0" customHeight="1">
      <c r="A9" s="71"/>
      <c r="B9" s="71"/>
      <c r="C9" s="71"/>
      <c r="D9" s="71"/>
      <c r="E9" s="71"/>
      <c r="F9" s="97"/>
      <c r="G9" s="71"/>
      <c r="H9" s="71"/>
      <c r="I9" s="97"/>
      <c r="J9" s="71"/>
      <c r="K9" s="71"/>
      <c r="L9" s="97"/>
      <c r="M9" s="71"/>
      <c r="N9" s="71"/>
      <c r="O9" s="71"/>
      <c r="P9" s="71"/>
      <c r="Q9" s="76"/>
      <c r="R9" s="39"/>
      <c r="S9" s="39"/>
      <c r="T9" s="39"/>
      <c r="U9" s="39"/>
      <c r="V9" s="39"/>
      <c r="W9" s="39"/>
      <c r="X9" s="39"/>
      <c r="Y9" s="39"/>
      <c r="Z9" s="39"/>
    </row>
    <row r="10" ht="25.5" customHeight="1">
      <c r="A10" s="104" t="s">
        <v>42</v>
      </c>
      <c r="B10" s="104" t="s">
        <v>43</v>
      </c>
      <c r="C10" s="104" t="s">
        <v>44</v>
      </c>
      <c r="D10" s="104" t="s">
        <v>45</v>
      </c>
      <c r="E10" s="104" t="s">
        <v>46</v>
      </c>
      <c r="F10" s="104" t="s">
        <v>37</v>
      </c>
      <c r="G10" s="104" t="s">
        <v>47</v>
      </c>
      <c r="H10" s="104" t="s">
        <v>48</v>
      </c>
      <c r="I10" s="104" t="s">
        <v>39</v>
      </c>
      <c r="J10" s="104" t="s">
        <v>47</v>
      </c>
      <c r="K10" s="104" t="s">
        <v>48</v>
      </c>
      <c r="L10" s="104" t="s">
        <v>40</v>
      </c>
      <c r="M10" s="104" t="s">
        <v>47</v>
      </c>
      <c r="N10" s="104" t="s">
        <v>48</v>
      </c>
      <c r="O10" s="104" t="s">
        <v>49</v>
      </c>
      <c r="P10" s="39"/>
      <c r="Q10" s="107"/>
      <c r="R10" s="39"/>
      <c r="S10" s="39"/>
      <c r="T10" s="39"/>
      <c r="U10" s="39"/>
      <c r="V10" s="39"/>
      <c r="W10" s="39"/>
      <c r="X10" s="39"/>
      <c r="Y10" s="39"/>
      <c r="Z10" s="39"/>
    </row>
    <row r="11" ht="15.75" customHeight="1">
      <c r="A11" s="112" t="s">
        <v>52</v>
      </c>
      <c r="B11" s="114" t="s">
        <v>54</v>
      </c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7"/>
      <c r="P11" s="39"/>
      <c r="Q11" s="118"/>
      <c r="R11" s="39"/>
      <c r="S11" s="39"/>
      <c r="T11" s="39"/>
      <c r="U11" s="39"/>
      <c r="V11" s="39"/>
      <c r="W11" s="39"/>
      <c r="X11" s="39"/>
      <c r="Y11" s="39"/>
      <c r="Z11" s="39"/>
    </row>
    <row r="12" ht="120.75" customHeight="1" outlineLevel="1">
      <c r="A12" s="120" t="s">
        <v>58</v>
      </c>
      <c r="B12" s="122" t="s">
        <v>59</v>
      </c>
      <c r="C12" s="124" t="s">
        <v>61</v>
      </c>
      <c r="D12" s="125" t="s">
        <v>63</v>
      </c>
      <c r="E12" s="126" t="s">
        <v>64</v>
      </c>
      <c r="F12" s="127" t="s">
        <v>28</v>
      </c>
      <c r="G12" s="127"/>
      <c r="H12" s="127"/>
      <c r="I12" s="127" t="s">
        <v>28</v>
      </c>
      <c r="J12" s="127"/>
      <c r="K12" s="127"/>
      <c r="L12" s="127" t="s">
        <v>28</v>
      </c>
      <c r="M12" s="127"/>
      <c r="N12" s="127"/>
      <c r="O12" s="127"/>
      <c r="P12" s="131"/>
      <c r="Q12" s="132"/>
      <c r="R12" s="131"/>
      <c r="S12" s="131"/>
      <c r="T12" s="131"/>
      <c r="U12" s="131"/>
      <c r="V12" s="131"/>
      <c r="W12" s="131"/>
      <c r="X12" s="131"/>
      <c r="Y12" s="131"/>
      <c r="Z12" s="131"/>
    </row>
    <row r="13" ht="41.25" customHeight="1" outlineLevel="1">
      <c r="A13" s="120" t="s">
        <v>66</v>
      </c>
      <c r="B13" s="120" t="s">
        <v>67</v>
      </c>
      <c r="C13" s="120" t="s">
        <v>68</v>
      </c>
      <c r="D13" s="133" t="s">
        <v>69</v>
      </c>
      <c r="E13" s="134"/>
      <c r="F13" s="127" t="s">
        <v>28</v>
      </c>
      <c r="G13" s="127"/>
      <c r="H13" s="127"/>
      <c r="I13" s="127" t="s">
        <v>28</v>
      </c>
      <c r="J13" s="127"/>
      <c r="K13" s="127"/>
      <c r="L13" s="127" t="s">
        <v>28</v>
      </c>
      <c r="M13" s="127"/>
      <c r="N13" s="127"/>
      <c r="O13" s="127"/>
      <c r="P13" s="3"/>
      <c r="Q13" s="132"/>
      <c r="R13" s="3"/>
      <c r="S13" s="3"/>
      <c r="T13" s="3"/>
      <c r="U13" s="3"/>
      <c r="V13" s="3"/>
      <c r="W13" s="3"/>
      <c r="X13" s="3"/>
      <c r="Y13" s="3"/>
      <c r="Z13" s="3"/>
    </row>
    <row r="14" ht="37.5" customHeight="1" outlineLevel="1">
      <c r="A14" s="120" t="s">
        <v>70</v>
      </c>
      <c r="B14" s="127" t="s">
        <v>71</v>
      </c>
      <c r="C14" s="127"/>
      <c r="D14" s="134"/>
      <c r="E14" s="134"/>
      <c r="F14" s="127" t="s">
        <v>28</v>
      </c>
      <c r="G14" s="127"/>
      <c r="H14" s="127"/>
      <c r="I14" s="127" t="s">
        <v>28</v>
      </c>
      <c r="J14" s="127"/>
      <c r="K14" s="127"/>
      <c r="L14" s="127" t="s">
        <v>28</v>
      </c>
      <c r="M14" s="127"/>
      <c r="N14" s="127"/>
      <c r="O14" s="127"/>
      <c r="P14" s="3"/>
      <c r="Q14" s="132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12" t="s">
        <v>72</v>
      </c>
      <c r="B15" s="135"/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7"/>
      <c r="P15" s="39"/>
      <c r="Q15" s="118"/>
      <c r="R15" s="39"/>
      <c r="S15" s="39"/>
      <c r="T15" s="39"/>
      <c r="U15" s="39"/>
      <c r="V15" s="39"/>
      <c r="W15" s="39"/>
      <c r="X15" s="39"/>
      <c r="Y15" s="39"/>
      <c r="Z15" s="39"/>
    </row>
    <row r="16" ht="12.75" customHeight="1" outlineLevel="1">
      <c r="A16" s="127" t="s">
        <v>74</v>
      </c>
      <c r="B16" s="127" t="s">
        <v>75</v>
      </c>
      <c r="C16" s="127"/>
      <c r="D16" s="127"/>
      <c r="E16" s="127"/>
      <c r="F16" s="127" t="s">
        <v>28</v>
      </c>
      <c r="G16" s="127"/>
      <c r="H16" s="127"/>
      <c r="I16" s="127" t="s">
        <v>28</v>
      </c>
      <c r="J16" s="127"/>
      <c r="K16" s="127"/>
      <c r="L16" s="127" t="s">
        <v>28</v>
      </c>
      <c r="M16" s="127"/>
      <c r="N16" s="127"/>
      <c r="O16" s="127"/>
      <c r="P16" s="3"/>
      <c r="Q16" s="132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 outlineLevel="1">
      <c r="A17" s="127" t="s">
        <v>76</v>
      </c>
      <c r="B17" s="127" t="s">
        <v>78</v>
      </c>
      <c r="C17" s="127"/>
      <c r="D17" s="127"/>
      <c r="E17" s="127"/>
      <c r="F17" s="127" t="s">
        <v>28</v>
      </c>
      <c r="G17" s="138"/>
      <c r="H17" s="138"/>
      <c r="I17" s="127" t="s">
        <v>28</v>
      </c>
      <c r="J17" s="138"/>
      <c r="K17" s="138"/>
      <c r="L17" s="127" t="s">
        <v>28</v>
      </c>
      <c r="M17" s="138"/>
      <c r="N17" s="138"/>
      <c r="O17" s="138"/>
      <c r="P17" s="3"/>
      <c r="Q17" s="17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112" t="s">
        <v>79</v>
      </c>
      <c r="B18" s="135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7"/>
      <c r="P18" s="39"/>
      <c r="Q18" s="118"/>
      <c r="R18" s="39"/>
      <c r="S18" s="39"/>
      <c r="T18" s="39"/>
      <c r="U18" s="39"/>
      <c r="V18" s="39"/>
      <c r="W18" s="39"/>
      <c r="X18" s="39"/>
      <c r="Y18" s="39"/>
      <c r="Z18" s="39"/>
    </row>
    <row r="19" ht="12.75" customHeight="1" outlineLevel="1">
      <c r="A19" s="127" t="s">
        <v>81</v>
      </c>
      <c r="B19" s="127" t="s">
        <v>82</v>
      </c>
      <c r="C19" s="127"/>
      <c r="D19" s="127"/>
      <c r="E19" s="127"/>
      <c r="F19" s="127" t="s">
        <v>28</v>
      </c>
      <c r="G19" s="127"/>
      <c r="H19" s="127"/>
      <c r="I19" s="127" t="s">
        <v>28</v>
      </c>
      <c r="J19" s="127"/>
      <c r="K19" s="127"/>
      <c r="L19" s="127" t="s">
        <v>28</v>
      </c>
      <c r="M19" s="127"/>
      <c r="N19" s="127"/>
      <c r="O19" s="127"/>
      <c r="P19" s="3"/>
      <c r="Q19" s="132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17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17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17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17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17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17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17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17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17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17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17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17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17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17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17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17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17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17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17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17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17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17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17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17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17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17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17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17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17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17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17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17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17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17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17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17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17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17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17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17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17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17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17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17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17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17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17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17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17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17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17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17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17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17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17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17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17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17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17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17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17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17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17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17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17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17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17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17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17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17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17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17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17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17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17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17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17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17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17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17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17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17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17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17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17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17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17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17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17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17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17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17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17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17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17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17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17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17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17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17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17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17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17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17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17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17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17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17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17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17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17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17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17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17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17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17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17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17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17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17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17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17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17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17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17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17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17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17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17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17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17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17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17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17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17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17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17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17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17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17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17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17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17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17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17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17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17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17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17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17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17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17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17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17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17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17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17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17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17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17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17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17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17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17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17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17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17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17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17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17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17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17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17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17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17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17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17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17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17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17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17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17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17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17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17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17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17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17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17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17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17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17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17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17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17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17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17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17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17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17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17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dataValidations>
    <dataValidation type="list" allowBlank="1" showErrorMessage="1" sqref="G2:G3 J2:J3 M2:M3 G9 J9 M9 F12:F19 I12:I19 L12:L19 G20:G147 J20:J147 M20:M147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17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23" t="s">
        <v>6</v>
      </c>
      <c r="B2" s="24" t="s">
        <v>7</v>
      </c>
      <c r="C2" s="26"/>
      <c r="D2" s="26"/>
      <c r="E2" s="27"/>
      <c r="F2" s="29"/>
      <c r="G2" s="35"/>
      <c r="H2" s="36"/>
      <c r="I2" s="29"/>
      <c r="J2" s="35"/>
      <c r="K2" s="36"/>
      <c r="L2" s="29"/>
      <c r="M2" s="35"/>
      <c r="N2" s="36"/>
      <c r="O2" s="36"/>
      <c r="P2" s="36"/>
      <c r="Q2" s="38"/>
      <c r="R2" s="39" t="s">
        <v>14</v>
      </c>
      <c r="S2" s="39"/>
      <c r="T2" s="39"/>
      <c r="U2" s="39"/>
      <c r="V2" s="39"/>
      <c r="W2" s="39"/>
      <c r="X2" s="39"/>
      <c r="Y2" s="39"/>
      <c r="Z2" s="39"/>
    </row>
    <row r="3" ht="12.75" customHeight="1">
      <c r="A3" s="44" t="s">
        <v>16</v>
      </c>
      <c r="B3" s="45" t="s">
        <v>17</v>
      </c>
      <c r="C3" s="8"/>
      <c r="D3" s="8"/>
      <c r="E3" s="46"/>
      <c r="F3" s="29"/>
      <c r="G3" s="35"/>
      <c r="H3" s="36"/>
      <c r="I3" s="29"/>
      <c r="J3" s="35"/>
      <c r="K3" s="36"/>
      <c r="L3" s="29"/>
      <c r="M3" s="35"/>
      <c r="N3" s="36"/>
      <c r="O3" s="36"/>
      <c r="P3" s="36"/>
      <c r="Q3" s="38"/>
      <c r="R3" s="39" t="s">
        <v>20</v>
      </c>
      <c r="S3" s="39"/>
      <c r="T3" s="39"/>
      <c r="U3" s="39"/>
      <c r="V3" s="39"/>
      <c r="W3" s="39"/>
      <c r="X3" s="39"/>
      <c r="Y3" s="39"/>
      <c r="Z3" s="39"/>
    </row>
    <row r="4" ht="18.0" customHeight="1">
      <c r="A4" s="44" t="s">
        <v>21</v>
      </c>
      <c r="B4" s="45">
        <f>COUNTA(A12:A1000)</f>
        <v>8</v>
      </c>
      <c r="C4" s="8"/>
      <c r="D4" s="8"/>
      <c r="E4" s="46"/>
      <c r="F4" s="29"/>
      <c r="G4" s="35"/>
      <c r="H4" s="36"/>
      <c r="I4" s="29"/>
      <c r="J4" s="35"/>
      <c r="K4" s="36"/>
      <c r="L4" s="29"/>
      <c r="M4" s="35"/>
      <c r="N4" s="36"/>
      <c r="O4" s="36"/>
      <c r="P4" s="36"/>
      <c r="Q4" s="38"/>
      <c r="R4" s="39" t="s">
        <v>28</v>
      </c>
      <c r="S4" s="39"/>
      <c r="T4" s="39"/>
      <c r="U4" s="39"/>
      <c r="V4" s="39"/>
      <c r="W4" s="39"/>
      <c r="X4" s="39"/>
      <c r="Y4" s="39"/>
      <c r="Z4" s="39"/>
    </row>
    <row r="5" ht="19.5" customHeight="1">
      <c r="A5" s="61" t="s">
        <v>31</v>
      </c>
      <c r="B5" s="63" t="s">
        <v>14</v>
      </c>
      <c r="C5" s="63" t="s">
        <v>20</v>
      </c>
      <c r="D5" s="63" t="s">
        <v>28</v>
      </c>
      <c r="E5" s="67" t="s">
        <v>32</v>
      </c>
      <c r="F5" s="69"/>
      <c r="G5" s="69"/>
      <c r="H5" s="71"/>
      <c r="I5" s="69"/>
      <c r="J5" s="69"/>
      <c r="K5" s="71"/>
      <c r="L5" s="69"/>
      <c r="M5" s="69"/>
      <c r="N5" s="71"/>
      <c r="O5" s="71"/>
      <c r="P5" s="71"/>
      <c r="Q5" s="76"/>
      <c r="R5" s="39" t="s">
        <v>32</v>
      </c>
      <c r="S5" s="39"/>
      <c r="T5" s="39"/>
      <c r="U5" s="39"/>
      <c r="V5" s="39"/>
      <c r="W5" s="39"/>
      <c r="X5" s="39"/>
      <c r="Y5" s="39"/>
      <c r="Z5" s="39"/>
    </row>
    <row r="6" ht="15.0" customHeight="1">
      <c r="A6" s="61" t="s">
        <v>37</v>
      </c>
      <c r="B6" s="82">
        <f t="shared" ref="B6:E6" si="1">COUNTIF($F10:$F998,B5)</f>
        <v>0</v>
      </c>
      <c r="C6" s="82">
        <f t="shared" si="1"/>
        <v>0</v>
      </c>
      <c r="D6" s="82">
        <f t="shared" si="1"/>
        <v>6</v>
      </c>
      <c r="E6" s="85">
        <f t="shared" si="1"/>
        <v>0</v>
      </c>
      <c r="F6" s="86"/>
      <c r="G6" s="86"/>
      <c r="H6" s="71"/>
      <c r="I6" s="86"/>
      <c r="J6" s="86"/>
      <c r="K6" s="71"/>
      <c r="L6" s="86"/>
      <c r="M6" s="86"/>
      <c r="N6" s="71"/>
      <c r="O6" s="71"/>
      <c r="P6" s="71"/>
      <c r="Q6" s="76"/>
      <c r="R6" s="39"/>
      <c r="S6" s="39"/>
      <c r="T6" s="39"/>
      <c r="U6" s="39"/>
      <c r="V6" s="39"/>
      <c r="W6" s="39"/>
      <c r="X6" s="39"/>
      <c r="Y6" s="39"/>
      <c r="Z6" s="39"/>
    </row>
    <row r="7" ht="15.0" customHeight="1">
      <c r="A7" s="61" t="s">
        <v>39</v>
      </c>
      <c r="B7" s="82">
        <f t="shared" ref="B7:E7" si="2">COUNTIF($F10:$F998,B5)</f>
        <v>0</v>
      </c>
      <c r="C7" s="82">
        <f t="shared" si="2"/>
        <v>0</v>
      </c>
      <c r="D7" s="82">
        <f t="shared" si="2"/>
        <v>6</v>
      </c>
      <c r="E7" s="85">
        <f t="shared" si="2"/>
        <v>0</v>
      </c>
      <c r="F7" s="86"/>
      <c r="G7" s="86"/>
      <c r="H7" s="71"/>
      <c r="I7" s="86"/>
      <c r="J7" s="86"/>
      <c r="K7" s="71"/>
      <c r="L7" s="86"/>
      <c r="M7" s="86"/>
      <c r="N7" s="71"/>
      <c r="O7" s="71"/>
      <c r="P7" s="71"/>
      <c r="Q7" s="76"/>
      <c r="R7" s="39"/>
      <c r="S7" s="39"/>
      <c r="T7" s="39"/>
      <c r="U7" s="39"/>
      <c r="V7" s="39"/>
      <c r="W7" s="39"/>
      <c r="X7" s="39"/>
      <c r="Y7" s="39"/>
      <c r="Z7" s="39"/>
    </row>
    <row r="8" ht="15.0" customHeight="1">
      <c r="A8" s="89" t="s">
        <v>40</v>
      </c>
      <c r="B8" s="90">
        <f t="shared" ref="B8:E8" si="3">COUNTIF($F10:$F998,B5)</f>
        <v>0</v>
      </c>
      <c r="C8" s="90">
        <f t="shared" si="3"/>
        <v>0</v>
      </c>
      <c r="D8" s="90">
        <f t="shared" si="3"/>
        <v>6</v>
      </c>
      <c r="E8" s="91">
        <f t="shared" si="3"/>
        <v>0</v>
      </c>
      <c r="F8" s="86"/>
      <c r="G8" s="86"/>
      <c r="H8" s="71"/>
      <c r="I8" s="86"/>
      <c r="J8" s="86"/>
      <c r="K8" s="71"/>
      <c r="L8" s="86"/>
      <c r="M8" s="86"/>
      <c r="N8" s="71"/>
      <c r="O8" s="71"/>
      <c r="P8" s="71"/>
      <c r="Q8" s="76"/>
      <c r="R8" s="39"/>
      <c r="S8" s="39"/>
      <c r="T8" s="39"/>
      <c r="U8" s="39"/>
      <c r="V8" s="39"/>
      <c r="W8" s="39"/>
      <c r="X8" s="39"/>
      <c r="Y8" s="39"/>
      <c r="Z8" s="39"/>
    </row>
    <row r="9" ht="15.0" customHeight="1">
      <c r="A9" s="71"/>
      <c r="B9" s="71"/>
      <c r="C9" s="71"/>
      <c r="D9" s="71"/>
      <c r="E9" s="71"/>
      <c r="F9" s="97"/>
      <c r="G9" s="71"/>
      <c r="H9" s="71"/>
      <c r="I9" s="97"/>
      <c r="J9" s="71"/>
      <c r="K9" s="71"/>
      <c r="L9" s="97"/>
      <c r="M9" s="71"/>
      <c r="N9" s="71"/>
      <c r="O9" s="71"/>
      <c r="P9" s="71"/>
      <c r="Q9" s="76"/>
      <c r="R9" s="39"/>
      <c r="S9" s="39"/>
      <c r="T9" s="39"/>
      <c r="U9" s="39"/>
      <c r="V9" s="39"/>
      <c r="W9" s="39"/>
      <c r="X9" s="39"/>
      <c r="Y9" s="39"/>
      <c r="Z9" s="39"/>
    </row>
    <row r="10" ht="25.5" customHeight="1">
      <c r="A10" s="104" t="s">
        <v>42</v>
      </c>
      <c r="B10" s="104" t="s">
        <v>43</v>
      </c>
      <c r="C10" s="104" t="s">
        <v>44</v>
      </c>
      <c r="D10" s="104" t="s">
        <v>45</v>
      </c>
      <c r="E10" s="104" t="s">
        <v>46</v>
      </c>
      <c r="F10" s="104" t="s">
        <v>37</v>
      </c>
      <c r="G10" s="104" t="s">
        <v>47</v>
      </c>
      <c r="H10" s="104" t="s">
        <v>48</v>
      </c>
      <c r="I10" s="104" t="s">
        <v>39</v>
      </c>
      <c r="J10" s="104" t="s">
        <v>47</v>
      </c>
      <c r="K10" s="104" t="s">
        <v>48</v>
      </c>
      <c r="L10" s="104" t="s">
        <v>40</v>
      </c>
      <c r="M10" s="104" t="s">
        <v>47</v>
      </c>
      <c r="N10" s="104" t="s">
        <v>48</v>
      </c>
      <c r="O10" s="104" t="s">
        <v>49</v>
      </c>
      <c r="P10" s="39"/>
      <c r="Q10" s="107"/>
      <c r="R10" s="39"/>
      <c r="S10" s="39"/>
      <c r="T10" s="39"/>
      <c r="U10" s="39"/>
      <c r="V10" s="39"/>
      <c r="W10" s="39"/>
      <c r="X10" s="39"/>
      <c r="Y10" s="39"/>
      <c r="Z10" s="39"/>
    </row>
    <row r="11" ht="15.75" customHeight="1">
      <c r="A11" s="112" t="s">
        <v>52</v>
      </c>
      <c r="B11" s="114" t="s">
        <v>54</v>
      </c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7"/>
      <c r="P11" s="39"/>
      <c r="Q11" s="118"/>
      <c r="R11" s="39"/>
      <c r="S11" s="39"/>
      <c r="T11" s="39"/>
      <c r="U11" s="39"/>
      <c r="V11" s="39"/>
      <c r="W11" s="39"/>
      <c r="X11" s="39"/>
      <c r="Y11" s="39"/>
      <c r="Z11" s="39"/>
    </row>
    <row r="12" ht="38.25" customHeight="1" outlineLevel="1">
      <c r="A12" s="120" t="s">
        <v>58</v>
      </c>
      <c r="B12" s="122" t="s">
        <v>85</v>
      </c>
      <c r="C12" s="144"/>
      <c r="D12" s="125"/>
      <c r="E12" s="126"/>
      <c r="F12" s="127" t="s">
        <v>28</v>
      </c>
      <c r="G12" s="127"/>
      <c r="H12" s="127"/>
      <c r="I12" s="127" t="s">
        <v>28</v>
      </c>
      <c r="J12" s="127"/>
      <c r="K12" s="127"/>
      <c r="L12" s="127" t="s">
        <v>28</v>
      </c>
      <c r="M12" s="127"/>
      <c r="N12" s="127"/>
      <c r="O12" s="127"/>
      <c r="P12" s="131"/>
      <c r="Q12" s="132"/>
      <c r="R12" s="131"/>
      <c r="S12" s="131"/>
      <c r="T12" s="131"/>
      <c r="U12" s="131"/>
      <c r="V12" s="131"/>
      <c r="W12" s="131"/>
      <c r="X12" s="131"/>
      <c r="Y12" s="131"/>
      <c r="Z12" s="131"/>
    </row>
    <row r="13" ht="41.25" customHeight="1" outlineLevel="1">
      <c r="A13" s="120" t="s">
        <v>66</v>
      </c>
      <c r="B13" s="127" t="s">
        <v>86</v>
      </c>
      <c r="C13" s="127"/>
      <c r="D13" s="134"/>
      <c r="E13" s="134"/>
      <c r="F13" s="127" t="s">
        <v>28</v>
      </c>
      <c r="G13" s="127"/>
      <c r="H13" s="127"/>
      <c r="I13" s="127" t="s">
        <v>28</v>
      </c>
      <c r="J13" s="127"/>
      <c r="K13" s="127"/>
      <c r="L13" s="127" t="s">
        <v>28</v>
      </c>
      <c r="M13" s="127"/>
      <c r="N13" s="127"/>
      <c r="O13" s="127"/>
      <c r="P13" s="3"/>
      <c r="Q13" s="132"/>
      <c r="R13" s="3"/>
      <c r="S13" s="3"/>
      <c r="T13" s="3"/>
      <c r="U13" s="3"/>
      <c r="V13" s="3"/>
      <c r="W13" s="3"/>
      <c r="X13" s="3"/>
      <c r="Y13" s="3"/>
      <c r="Z13" s="3"/>
    </row>
    <row r="14" ht="37.5" customHeight="1" outlineLevel="1">
      <c r="A14" s="120" t="s">
        <v>70</v>
      </c>
      <c r="B14" s="127" t="s">
        <v>71</v>
      </c>
      <c r="C14" s="127"/>
      <c r="D14" s="134"/>
      <c r="E14" s="134"/>
      <c r="F14" s="127" t="s">
        <v>28</v>
      </c>
      <c r="G14" s="127"/>
      <c r="H14" s="127"/>
      <c r="I14" s="127" t="s">
        <v>28</v>
      </c>
      <c r="J14" s="127"/>
      <c r="K14" s="127"/>
      <c r="L14" s="127" t="s">
        <v>28</v>
      </c>
      <c r="M14" s="127"/>
      <c r="N14" s="127"/>
      <c r="O14" s="127"/>
      <c r="P14" s="3"/>
      <c r="Q14" s="132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12" t="s">
        <v>72</v>
      </c>
      <c r="B15" s="135"/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7"/>
      <c r="P15" s="39"/>
      <c r="Q15" s="118"/>
      <c r="R15" s="39"/>
      <c r="S15" s="39"/>
      <c r="T15" s="39"/>
      <c r="U15" s="39"/>
      <c r="V15" s="39"/>
      <c r="W15" s="39"/>
      <c r="X15" s="39"/>
      <c r="Y15" s="39"/>
      <c r="Z15" s="39"/>
    </row>
    <row r="16" ht="12.75" customHeight="1" outlineLevel="1">
      <c r="A16" s="127" t="s">
        <v>74</v>
      </c>
      <c r="B16" s="127" t="s">
        <v>75</v>
      </c>
      <c r="C16" s="127"/>
      <c r="D16" s="127"/>
      <c r="E16" s="127"/>
      <c r="F16" s="127" t="s">
        <v>28</v>
      </c>
      <c r="G16" s="127"/>
      <c r="H16" s="127"/>
      <c r="I16" s="127" t="s">
        <v>28</v>
      </c>
      <c r="J16" s="127"/>
      <c r="K16" s="127"/>
      <c r="L16" s="127" t="s">
        <v>28</v>
      </c>
      <c r="M16" s="127"/>
      <c r="N16" s="127"/>
      <c r="O16" s="127"/>
      <c r="P16" s="3"/>
      <c r="Q16" s="132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 outlineLevel="1">
      <c r="A17" s="127" t="s">
        <v>76</v>
      </c>
      <c r="B17" s="127" t="s">
        <v>78</v>
      </c>
      <c r="C17" s="127"/>
      <c r="D17" s="127"/>
      <c r="E17" s="127"/>
      <c r="F17" s="127" t="s">
        <v>28</v>
      </c>
      <c r="G17" s="138"/>
      <c r="H17" s="138"/>
      <c r="I17" s="127" t="s">
        <v>28</v>
      </c>
      <c r="J17" s="138"/>
      <c r="K17" s="138"/>
      <c r="L17" s="127" t="s">
        <v>28</v>
      </c>
      <c r="M17" s="138"/>
      <c r="N17" s="138"/>
      <c r="O17" s="138"/>
      <c r="P17" s="3"/>
      <c r="Q17" s="17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112" t="s">
        <v>79</v>
      </c>
      <c r="B18" s="135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7"/>
      <c r="P18" s="39"/>
      <c r="Q18" s="118"/>
      <c r="R18" s="39"/>
      <c r="S18" s="39"/>
      <c r="T18" s="39"/>
      <c r="U18" s="39"/>
      <c r="V18" s="39"/>
      <c r="W18" s="39"/>
      <c r="X18" s="39"/>
      <c r="Y18" s="39"/>
      <c r="Z18" s="39"/>
    </row>
    <row r="19" ht="12.75" customHeight="1" outlineLevel="1">
      <c r="A19" s="127" t="s">
        <v>81</v>
      </c>
      <c r="B19" s="127" t="s">
        <v>82</v>
      </c>
      <c r="C19" s="127"/>
      <c r="D19" s="127"/>
      <c r="E19" s="127"/>
      <c r="F19" s="127" t="s">
        <v>28</v>
      </c>
      <c r="G19" s="127"/>
      <c r="H19" s="127"/>
      <c r="I19" s="127" t="s">
        <v>28</v>
      </c>
      <c r="J19" s="127"/>
      <c r="K19" s="127"/>
      <c r="L19" s="127" t="s">
        <v>28</v>
      </c>
      <c r="M19" s="127"/>
      <c r="N19" s="127"/>
      <c r="O19" s="127"/>
      <c r="P19" s="3"/>
      <c r="Q19" s="132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17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17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17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17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17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17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17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17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17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17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17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17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17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17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17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17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17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17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17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17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17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17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17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17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17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17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17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17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17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17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17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17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17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17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17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17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17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17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17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17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17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17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17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17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17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17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17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17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17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17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17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17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17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17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17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17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17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17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17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17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17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17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17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17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17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17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17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17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17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17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17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17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17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17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17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17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17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17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17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17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17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17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17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17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17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17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17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17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17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17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17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17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17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17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17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17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17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17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17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17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17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17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17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17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17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17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17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17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17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17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17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17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17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17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17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17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17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17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17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17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17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17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17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17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17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17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17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17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17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17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17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17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17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17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17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17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17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17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17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17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17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17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17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17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17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17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17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17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17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17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17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17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17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17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17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17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17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17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17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17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17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17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17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17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17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17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17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17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17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17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17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17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17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17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17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17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17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17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17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17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17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17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17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17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17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17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17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17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17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17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17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17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17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17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17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17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17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17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17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17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17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dataValidations>
    <dataValidation type="list" allowBlank="1" showErrorMessage="1" sqref="G2:G3 J2:J3 M2:M3 G9 J9 M9 F12:F19 I12:I19 L12:L19 G20:G147 J20:J147 M20:M147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3.38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17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23" t="s">
        <v>6</v>
      </c>
      <c r="B2" s="24" t="s">
        <v>87</v>
      </c>
      <c r="C2" s="26"/>
      <c r="D2" s="26"/>
      <c r="E2" s="27"/>
      <c r="F2" s="29"/>
      <c r="G2" s="35"/>
      <c r="H2" s="36"/>
      <c r="I2" s="29"/>
      <c r="J2" s="35"/>
      <c r="K2" s="36"/>
      <c r="L2" s="29"/>
      <c r="M2" s="35"/>
      <c r="N2" s="36"/>
      <c r="O2" s="36"/>
      <c r="P2" s="36"/>
      <c r="Q2" s="38"/>
      <c r="R2" s="39" t="s">
        <v>14</v>
      </c>
      <c r="S2" s="39"/>
      <c r="T2" s="39"/>
      <c r="U2" s="39"/>
      <c r="V2" s="39"/>
      <c r="W2" s="39"/>
      <c r="X2" s="39"/>
      <c r="Y2" s="39"/>
      <c r="Z2" s="39"/>
    </row>
    <row r="3" ht="12.75" customHeight="1">
      <c r="A3" s="44" t="s">
        <v>16</v>
      </c>
      <c r="B3" s="45" t="s">
        <v>17</v>
      </c>
      <c r="C3" s="8"/>
      <c r="D3" s="8"/>
      <c r="E3" s="46"/>
      <c r="F3" s="29"/>
      <c r="G3" s="35"/>
      <c r="H3" s="36"/>
      <c r="I3" s="29"/>
      <c r="J3" s="35"/>
      <c r="K3" s="36"/>
      <c r="L3" s="29"/>
      <c r="M3" s="35"/>
      <c r="N3" s="36"/>
      <c r="O3" s="36"/>
      <c r="P3" s="36"/>
      <c r="Q3" s="38"/>
      <c r="R3" s="39" t="s">
        <v>20</v>
      </c>
      <c r="S3" s="39"/>
      <c r="T3" s="39"/>
      <c r="U3" s="39"/>
      <c r="V3" s="39"/>
      <c r="W3" s="39"/>
      <c r="X3" s="39"/>
      <c r="Y3" s="39"/>
      <c r="Z3" s="39"/>
    </row>
    <row r="4" ht="18.0" customHeight="1">
      <c r="A4" s="44" t="s">
        <v>21</v>
      </c>
      <c r="B4" s="45">
        <f>COUNTA(A12:A1004)</f>
        <v>12</v>
      </c>
      <c r="C4" s="8"/>
      <c r="D4" s="8"/>
      <c r="E4" s="46"/>
      <c r="F4" s="29"/>
      <c r="G4" s="35"/>
      <c r="H4" s="36"/>
      <c r="I4" s="29"/>
      <c r="J4" s="35"/>
      <c r="K4" s="36"/>
      <c r="L4" s="29"/>
      <c r="M4" s="35"/>
      <c r="N4" s="36"/>
      <c r="O4" s="36"/>
      <c r="P4" s="36"/>
      <c r="Q4" s="38"/>
      <c r="R4" s="39" t="s">
        <v>28</v>
      </c>
      <c r="S4" s="39"/>
      <c r="T4" s="39"/>
      <c r="U4" s="39"/>
      <c r="V4" s="39"/>
      <c r="W4" s="39"/>
      <c r="X4" s="39"/>
      <c r="Y4" s="39"/>
      <c r="Z4" s="39"/>
    </row>
    <row r="5" ht="19.5" customHeight="1">
      <c r="A5" s="61" t="s">
        <v>31</v>
      </c>
      <c r="B5" s="63" t="s">
        <v>14</v>
      </c>
      <c r="C5" s="63" t="s">
        <v>20</v>
      </c>
      <c r="D5" s="63" t="s">
        <v>28</v>
      </c>
      <c r="E5" s="67" t="s">
        <v>32</v>
      </c>
      <c r="F5" s="69"/>
      <c r="G5" s="69"/>
      <c r="H5" s="71"/>
      <c r="I5" s="69"/>
      <c r="J5" s="69"/>
      <c r="K5" s="71"/>
      <c r="L5" s="69"/>
      <c r="M5" s="69"/>
      <c r="N5" s="71"/>
      <c r="O5" s="71"/>
      <c r="P5" s="71"/>
      <c r="Q5" s="76"/>
      <c r="R5" s="39" t="s">
        <v>32</v>
      </c>
      <c r="S5" s="39"/>
      <c r="T5" s="39"/>
      <c r="U5" s="39"/>
      <c r="V5" s="39"/>
      <c r="W5" s="39"/>
      <c r="X5" s="39"/>
      <c r="Y5" s="39"/>
      <c r="Z5" s="39"/>
    </row>
    <row r="6" ht="15.0" customHeight="1">
      <c r="A6" s="61" t="s">
        <v>37</v>
      </c>
      <c r="B6" s="82">
        <f t="shared" ref="B6:E6" si="1">COUNTIF($F10:$F1002,B5)</f>
        <v>0</v>
      </c>
      <c r="C6" s="82">
        <f t="shared" si="1"/>
        <v>0</v>
      </c>
      <c r="D6" s="82">
        <f t="shared" si="1"/>
        <v>5</v>
      </c>
      <c r="E6" s="85">
        <f t="shared" si="1"/>
        <v>0</v>
      </c>
      <c r="F6" s="86"/>
      <c r="G6" s="86"/>
      <c r="H6" s="71"/>
      <c r="I6" s="86"/>
      <c r="J6" s="86"/>
      <c r="K6" s="71"/>
      <c r="L6" s="86"/>
      <c r="M6" s="86"/>
      <c r="N6" s="71"/>
      <c r="O6" s="71"/>
      <c r="P6" s="71"/>
      <c r="Q6" s="76"/>
      <c r="R6" s="39"/>
      <c r="S6" s="39"/>
      <c r="T6" s="39"/>
      <c r="U6" s="39"/>
      <c r="V6" s="39"/>
      <c r="W6" s="39"/>
      <c r="X6" s="39"/>
      <c r="Y6" s="39"/>
      <c r="Z6" s="39"/>
    </row>
    <row r="7" ht="15.0" customHeight="1">
      <c r="A7" s="61" t="s">
        <v>39</v>
      </c>
      <c r="B7" s="82">
        <f t="shared" ref="B7:E7" si="2">COUNTIF($F10:$F1002,B5)</f>
        <v>0</v>
      </c>
      <c r="C7" s="82">
        <f t="shared" si="2"/>
        <v>0</v>
      </c>
      <c r="D7" s="82">
        <f t="shared" si="2"/>
        <v>5</v>
      </c>
      <c r="E7" s="85">
        <f t="shared" si="2"/>
        <v>0</v>
      </c>
      <c r="F7" s="86"/>
      <c r="G7" s="86"/>
      <c r="H7" s="71"/>
      <c r="I7" s="86"/>
      <c r="J7" s="86"/>
      <c r="K7" s="71"/>
      <c r="L7" s="86"/>
      <c r="M7" s="86"/>
      <c r="N7" s="71"/>
      <c r="O7" s="71"/>
      <c r="P7" s="71"/>
      <c r="Q7" s="76"/>
      <c r="R7" s="39"/>
      <c r="S7" s="39"/>
      <c r="T7" s="39"/>
      <c r="U7" s="39"/>
      <c r="V7" s="39"/>
      <c r="W7" s="39"/>
      <c r="X7" s="39"/>
      <c r="Y7" s="39"/>
      <c r="Z7" s="39"/>
    </row>
    <row r="8" ht="15.0" customHeight="1">
      <c r="A8" s="89" t="s">
        <v>40</v>
      </c>
      <c r="B8" s="90">
        <f t="shared" ref="B8:E8" si="3">COUNTIF($F10:$F1002,B5)</f>
        <v>0</v>
      </c>
      <c r="C8" s="90">
        <f t="shared" si="3"/>
        <v>0</v>
      </c>
      <c r="D8" s="90">
        <f t="shared" si="3"/>
        <v>5</v>
      </c>
      <c r="E8" s="91">
        <f t="shared" si="3"/>
        <v>0</v>
      </c>
      <c r="F8" s="86"/>
      <c r="G8" s="86"/>
      <c r="H8" s="71"/>
      <c r="I8" s="86"/>
      <c r="J8" s="86"/>
      <c r="K8" s="71"/>
      <c r="L8" s="86"/>
      <c r="M8" s="86"/>
      <c r="N8" s="71"/>
      <c r="O8" s="71"/>
      <c r="P8" s="71"/>
      <c r="Q8" s="76"/>
      <c r="R8" s="39"/>
      <c r="S8" s="39"/>
      <c r="T8" s="39"/>
      <c r="U8" s="39"/>
      <c r="V8" s="39"/>
      <c r="W8" s="39"/>
      <c r="X8" s="39"/>
      <c r="Y8" s="39"/>
      <c r="Z8" s="39"/>
    </row>
    <row r="9" ht="15.0" customHeight="1">
      <c r="A9" s="71"/>
      <c r="B9" s="71"/>
      <c r="C9" s="71"/>
      <c r="D9" s="71"/>
      <c r="E9" s="71"/>
      <c r="F9" s="97"/>
      <c r="G9" s="71"/>
      <c r="H9" s="71"/>
      <c r="I9" s="97"/>
      <c r="J9" s="71"/>
      <c r="K9" s="71"/>
      <c r="L9" s="97"/>
      <c r="M9" s="71"/>
      <c r="N9" s="71"/>
      <c r="O9" s="71"/>
      <c r="P9" s="71"/>
      <c r="Q9" s="76"/>
      <c r="R9" s="39"/>
      <c r="S9" s="39"/>
      <c r="T9" s="39"/>
      <c r="U9" s="39"/>
      <c r="V9" s="39"/>
      <c r="W9" s="39"/>
      <c r="X9" s="39"/>
      <c r="Y9" s="39"/>
      <c r="Z9" s="39"/>
    </row>
    <row r="10" ht="25.5" customHeight="1">
      <c r="A10" s="104" t="s">
        <v>42</v>
      </c>
      <c r="B10" s="104" t="s">
        <v>43</v>
      </c>
      <c r="C10" s="104" t="s">
        <v>44</v>
      </c>
      <c r="D10" s="104" t="s">
        <v>45</v>
      </c>
      <c r="E10" s="104" t="s">
        <v>46</v>
      </c>
      <c r="F10" s="104" t="s">
        <v>37</v>
      </c>
      <c r="G10" s="104" t="s">
        <v>47</v>
      </c>
      <c r="H10" s="104" t="s">
        <v>48</v>
      </c>
      <c r="I10" s="104" t="s">
        <v>39</v>
      </c>
      <c r="J10" s="104" t="s">
        <v>47</v>
      </c>
      <c r="K10" s="104" t="s">
        <v>48</v>
      </c>
      <c r="L10" s="104" t="s">
        <v>40</v>
      </c>
      <c r="M10" s="104" t="s">
        <v>47</v>
      </c>
      <c r="N10" s="104" t="s">
        <v>48</v>
      </c>
      <c r="O10" s="104" t="s">
        <v>49</v>
      </c>
      <c r="P10" s="39"/>
      <c r="Q10" s="107"/>
      <c r="R10" s="39"/>
      <c r="S10" s="39"/>
      <c r="T10" s="39"/>
      <c r="U10" s="39"/>
      <c r="V10" s="39"/>
      <c r="W10" s="39"/>
      <c r="X10" s="39"/>
      <c r="Y10" s="39"/>
      <c r="Z10" s="39"/>
    </row>
    <row r="11" ht="15.75" customHeight="1">
      <c r="A11" s="112" t="s">
        <v>88</v>
      </c>
      <c r="B11" s="112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7"/>
      <c r="P11" s="39"/>
      <c r="Q11" s="118"/>
      <c r="R11" s="39"/>
      <c r="S11" s="39"/>
      <c r="T11" s="39"/>
      <c r="U11" s="39"/>
      <c r="V11" s="39"/>
      <c r="W11" s="39"/>
      <c r="X11" s="39"/>
      <c r="Y11" s="39"/>
      <c r="Z11" s="39"/>
    </row>
    <row r="12" outlineLevel="1">
      <c r="A12" s="120" t="s">
        <v>89</v>
      </c>
      <c r="B12" s="124" t="s">
        <v>90</v>
      </c>
      <c r="C12" s="124" t="s">
        <v>91</v>
      </c>
      <c r="D12" s="125" t="s">
        <v>92</v>
      </c>
      <c r="E12" s="125" t="s">
        <v>93</v>
      </c>
      <c r="F12" s="127" t="s">
        <v>28</v>
      </c>
      <c r="G12" s="127"/>
      <c r="H12" s="127"/>
      <c r="I12" s="127" t="s">
        <v>28</v>
      </c>
      <c r="J12" s="127"/>
      <c r="K12" s="127"/>
      <c r="L12" s="127" t="s">
        <v>28</v>
      </c>
      <c r="M12" s="127"/>
      <c r="N12" s="127"/>
      <c r="O12" s="127"/>
      <c r="P12" s="131"/>
      <c r="Q12" s="132"/>
      <c r="R12" s="131"/>
      <c r="S12" s="131"/>
      <c r="T12" s="131"/>
      <c r="U12" s="131"/>
      <c r="V12" s="131"/>
      <c r="W12" s="131"/>
      <c r="X12" s="131"/>
      <c r="Y12" s="131"/>
      <c r="Z12" s="131"/>
    </row>
    <row r="13" outlineLevel="1">
      <c r="A13" s="120" t="s">
        <v>94</v>
      </c>
      <c r="B13" s="124" t="s">
        <v>95</v>
      </c>
      <c r="C13" s="124" t="s">
        <v>96</v>
      </c>
      <c r="D13" s="125" t="s">
        <v>97</v>
      </c>
      <c r="E13" s="125" t="s">
        <v>93</v>
      </c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3"/>
      <c r="Q13" s="132"/>
      <c r="R13" s="3"/>
      <c r="S13" s="3"/>
      <c r="T13" s="3"/>
      <c r="U13" s="3"/>
      <c r="V13" s="3"/>
      <c r="W13" s="3"/>
      <c r="X13" s="3"/>
      <c r="Y13" s="3"/>
      <c r="Z13" s="3"/>
    </row>
    <row r="14" outlineLevel="1">
      <c r="A14" s="120" t="s">
        <v>98</v>
      </c>
      <c r="B14" s="124" t="s">
        <v>99</v>
      </c>
      <c r="C14" s="124" t="s">
        <v>100</v>
      </c>
      <c r="D14" s="125" t="s">
        <v>101</v>
      </c>
      <c r="E14" s="125" t="s">
        <v>93</v>
      </c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3"/>
      <c r="Q14" s="132"/>
      <c r="R14" s="3"/>
      <c r="S14" s="3"/>
      <c r="T14" s="3"/>
      <c r="U14" s="3"/>
      <c r="V14" s="3"/>
      <c r="W14" s="3"/>
      <c r="X14" s="3"/>
      <c r="Y14" s="3"/>
      <c r="Z14" s="3"/>
    </row>
    <row r="15" outlineLevel="1">
      <c r="A15" s="120" t="s">
        <v>102</v>
      </c>
      <c r="B15" s="124" t="s">
        <v>103</v>
      </c>
      <c r="C15" s="124" t="s">
        <v>91</v>
      </c>
      <c r="D15" s="125" t="s">
        <v>92</v>
      </c>
      <c r="E15" s="125" t="s">
        <v>93</v>
      </c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3"/>
      <c r="Q15" s="132"/>
      <c r="R15" s="3"/>
      <c r="S15" s="3"/>
      <c r="T15" s="3"/>
      <c r="U15" s="3"/>
      <c r="V15" s="3"/>
      <c r="W15" s="3"/>
      <c r="X15" s="3"/>
      <c r="Y15" s="3"/>
      <c r="Z15" s="3"/>
    </row>
    <row r="16" outlineLevel="1">
      <c r="A16" s="120" t="s">
        <v>104</v>
      </c>
      <c r="B16" s="124" t="s">
        <v>90</v>
      </c>
      <c r="C16" s="124" t="s">
        <v>91</v>
      </c>
      <c r="D16" s="125" t="s">
        <v>92</v>
      </c>
      <c r="E16" s="125" t="s">
        <v>93</v>
      </c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3"/>
      <c r="Q16" s="132"/>
      <c r="R16" s="3"/>
      <c r="S16" s="3"/>
      <c r="T16" s="3"/>
      <c r="U16" s="3"/>
      <c r="V16" s="3"/>
      <c r="W16" s="3"/>
      <c r="X16" s="3"/>
      <c r="Y16" s="3"/>
      <c r="Z16" s="3"/>
    </row>
    <row r="17" outlineLevel="1">
      <c r="A17" s="120" t="s">
        <v>105</v>
      </c>
      <c r="B17" s="124" t="s">
        <v>90</v>
      </c>
      <c r="C17" s="124" t="s">
        <v>91</v>
      </c>
      <c r="D17" s="125" t="s">
        <v>92</v>
      </c>
      <c r="E17" s="125" t="s">
        <v>93</v>
      </c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3"/>
      <c r="Q17" s="132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 outlineLevel="1">
      <c r="A18" s="120" t="s">
        <v>106</v>
      </c>
      <c r="B18" s="124" t="s">
        <v>90</v>
      </c>
      <c r="C18" s="124" t="s">
        <v>91</v>
      </c>
      <c r="D18" s="125" t="s">
        <v>92</v>
      </c>
      <c r="E18" s="125" t="s">
        <v>93</v>
      </c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3"/>
      <c r="Q18" s="132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 outlineLevel="1">
      <c r="A19" s="120" t="s">
        <v>107</v>
      </c>
      <c r="B19" s="127" t="s">
        <v>86</v>
      </c>
      <c r="C19" s="127"/>
      <c r="D19" s="125" t="s">
        <v>92</v>
      </c>
      <c r="E19" s="125" t="s">
        <v>93</v>
      </c>
      <c r="F19" s="127" t="s">
        <v>28</v>
      </c>
      <c r="G19" s="127"/>
      <c r="H19" s="127"/>
      <c r="I19" s="127" t="s">
        <v>28</v>
      </c>
      <c r="J19" s="127"/>
      <c r="K19" s="127"/>
      <c r="L19" s="127" t="s">
        <v>28</v>
      </c>
      <c r="M19" s="127"/>
      <c r="N19" s="127"/>
      <c r="O19" s="127"/>
      <c r="P19" s="3"/>
      <c r="Q19" s="132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 outlineLevel="1">
      <c r="A20" s="120" t="s">
        <v>108</v>
      </c>
      <c r="B20" s="127" t="s">
        <v>71</v>
      </c>
      <c r="C20" s="127"/>
      <c r="D20" s="134"/>
      <c r="E20" s="134"/>
      <c r="F20" s="127" t="s">
        <v>28</v>
      </c>
      <c r="G20" s="127"/>
      <c r="H20" s="127"/>
      <c r="I20" s="127" t="s">
        <v>28</v>
      </c>
      <c r="J20" s="127"/>
      <c r="K20" s="127"/>
      <c r="L20" s="127" t="s">
        <v>28</v>
      </c>
      <c r="M20" s="127"/>
      <c r="N20" s="127"/>
      <c r="O20" s="127"/>
      <c r="P20" s="3"/>
      <c r="Q20" s="132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12" t="s">
        <v>109</v>
      </c>
      <c r="B21" s="135"/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7"/>
      <c r="P21" s="39"/>
      <c r="Q21" s="118"/>
      <c r="R21" s="39"/>
      <c r="S21" s="39"/>
      <c r="T21" s="39"/>
      <c r="U21" s="39"/>
      <c r="V21" s="39"/>
      <c r="W21" s="39"/>
      <c r="X21" s="39"/>
      <c r="Y21" s="39"/>
      <c r="Z21" s="39"/>
    </row>
    <row r="22" ht="12.75" customHeight="1" outlineLevel="1">
      <c r="A22" s="127" t="s">
        <v>74</v>
      </c>
      <c r="B22" s="127" t="s">
        <v>75</v>
      </c>
      <c r="C22" s="127"/>
      <c r="D22" s="127"/>
      <c r="E22" s="127"/>
      <c r="F22" s="127" t="s">
        <v>28</v>
      </c>
      <c r="G22" s="127"/>
      <c r="H22" s="127"/>
      <c r="I22" s="127" t="s">
        <v>28</v>
      </c>
      <c r="J22" s="127"/>
      <c r="K22" s="127"/>
      <c r="L22" s="127" t="s">
        <v>28</v>
      </c>
      <c r="M22" s="127"/>
      <c r="N22" s="127"/>
      <c r="O22" s="127"/>
      <c r="P22" s="3"/>
      <c r="Q22" s="132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 outlineLevel="1">
      <c r="A23" s="127" t="s">
        <v>76</v>
      </c>
      <c r="B23" s="127" t="s">
        <v>78</v>
      </c>
      <c r="C23" s="127"/>
      <c r="D23" s="127"/>
      <c r="E23" s="127"/>
      <c r="F23" s="127" t="s">
        <v>28</v>
      </c>
      <c r="G23" s="138"/>
      <c r="H23" s="138"/>
      <c r="I23" s="127" t="s">
        <v>28</v>
      </c>
      <c r="J23" s="138"/>
      <c r="K23" s="138"/>
      <c r="L23" s="127" t="s">
        <v>28</v>
      </c>
      <c r="M23" s="138"/>
      <c r="N23" s="138"/>
      <c r="O23" s="138"/>
      <c r="P23" s="3"/>
      <c r="Q23" s="17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17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17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17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17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17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17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17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17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17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17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17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17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17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17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17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17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17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17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17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17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17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17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17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17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17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17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17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17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17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17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17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17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17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17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17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17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17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17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17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17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17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17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17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17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17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17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17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17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17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17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17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17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17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17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17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17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17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17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17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17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17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17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17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17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17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17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17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17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17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17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17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17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17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17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17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17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17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17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17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17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17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17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17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17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17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17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17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17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17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17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17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17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17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17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17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17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17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17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17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17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17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17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17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17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17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17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17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17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17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17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17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17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17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17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17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17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17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17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17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17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17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17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17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17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17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17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17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17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17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17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17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17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17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17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17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17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17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17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17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17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17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17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17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17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17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17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17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17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17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17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17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17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17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17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17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17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17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17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17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17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17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17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17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17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17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17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17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17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17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17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17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17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17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17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17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17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17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17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17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17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17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17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17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17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17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17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17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17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17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17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17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17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17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17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17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17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17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17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17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17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17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17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17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3">
    <mergeCell ref="B2:E2"/>
    <mergeCell ref="B3:E3"/>
    <mergeCell ref="B4:E4"/>
  </mergeCells>
  <dataValidations>
    <dataValidation type="list" allowBlank="1" showErrorMessage="1" sqref="G2:G3 J2:J3 M2:M3 G9 J9 M9 F12:F23 I12:I23 L12:L23 G24:G151 J24:J151 M24:M151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17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23" t="s">
        <v>6</v>
      </c>
      <c r="B2" s="24" t="s">
        <v>7</v>
      </c>
      <c r="C2" s="26"/>
      <c r="D2" s="26"/>
      <c r="E2" s="27"/>
      <c r="F2" s="29"/>
      <c r="G2" s="35"/>
      <c r="H2" s="36"/>
      <c r="I2" s="29"/>
      <c r="J2" s="35"/>
      <c r="K2" s="36"/>
      <c r="L2" s="29"/>
      <c r="M2" s="35"/>
      <c r="N2" s="36"/>
      <c r="O2" s="36"/>
      <c r="P2" s="36"/>
      <c r="Q2" s="38"/>
      <c r="R2" s="39" t="s">
        <v>14</v>
      </c>
      <c r="S2" s="39"/>
      <c r="T2" s="39"/>
      <c r="U2" s="39"/>
      <c r="V2" s="39"/>
      <c r="W2" s="39"/>
      <c r="X2" s="39"/>
      <c r="Y2" s="39"/>
      <c r="Z2" s="39"/>
    </row>
    <row r="3" ht="12.75" customHeight="1">
      <c r="A3" s="44" t="s">
        <v>16</v>
      </c>
      <c r="B3" s="45" t="s">
        <v>17</v>
      </c>
      <c r="C3" s="8"/>
      <c r="D3" s="8"/>
      <c r="E3" s="46"/>
      <c r="F3" s="29"/>
      <c r="G3" s="35"/>
      <c r="H3" s="36"/>
      <c r="I3" s="29"/>
      <c r="J3" s="35"/>
      <c r="K3" s="36"/>
      <c r="L3" s="29"/>
      <c r="M3" s="35"/>
      <c r="N3" s="36"/>
      <c r="O3" s="36"/>
      <c r="P3" s="36"/>
      <c r="Q3" s="38"/>
      <c r="R3" s="39" t="s">
        <v>20</v>
      </c>
      <c r="S3" s="39"/>
      <c r="T3" s="39"/>
      <c r="U3" s="39"/>
      <c r="V3" s="39"/>
      <c r="W3" s="39"/>
      <c r="X3" s="39"/>
      <c r="Y3" s="39"/>
      <c r="Z3" s="39"/>
    </row>
    <row r="4" ht="18.0" customHeight="1">
      <c r="A4" s="44" t="s">
        <v>21</v>
      </c>
      <c r="B4" s="45">
        <f>COUNTA(A12:A1000)</f>
        <v>8</v>
      </c>
      <c r="C4" s="8"/>
      <c r="D4" s="8"/>
      <c r="E4" s="46"/>
      <c r="F4" s="29"/>
      <c r="G4" s="35"/>
      <c r="H4" s="36"/>
      <c r="I4" s="29"/>
      <c r="J4" s="35"/>
      <c r="K4" s="36"/>
      <c r="L4" s="29"/>
      <c r="M4" s="35"/>
      <c r="N4" s="36"/>
      <c r="O4" s="36"/>
      <c r="P4" s="36"/>
      <c r="Q4" s="38"/>
      <c r="R4" s="39" t="s">
        <v>28</v>
      </c>
      <c r="S4" s="39"/>
      <c r="T4" s="39"/>
      <c r="U4" s="39"/>
      <c r="V4" s="39"/>
      <c r="W4" s="39"/>
      <c r="X4" s="39"/>
      <c r="Y4" s="39"/>
      <c r="Z4" s="39"/>
    </row>
    <row r="5" ht="19.5" customHeight="1">
      <c r="A5" s="61" t="s">
        <v>31</v>
      </c>
      <c r="B5" s="63" t="s">
        <v>14</v>
      </c>
      <c r="C5" s="63" t="s">
        <v>20</v>
      </c>
      <c r="D5" s="63" t="s">
        <v>28</v>
      </c>
      <c r="E5" s="67" t="s">
        <v>32</v>
      </c>
      <c r="F5" s="69"/>
      <c r="G5" s="69"/>
      <c r="H5" s="71"/>
      <c r="I5" s="69"/>
      <c r="J5" s="69"/>
      <c r="K5" s="71"/>
      <c r="L5" s="69"/>
      <c r="M5" s="69"/>
      <c r="N5" s="71"/>
      <c r="O5" s="71"/>
      <c r="P5" s="71"/>
      <c r="Q5" s="76"/>
      <c r="R5" s="39" t="s">
        <v>32</v>
      </c>
      <c r="S5" s="39"/>
      <c r="T5" s="39"/>
      <c r="U5" s="39"/>
      <c r="V5" s="39"/>
      <c r="W5" s="39"/>
      <c r="X5" s="39"/>
      <c r="Y5" s="39"/>
      <c r="Z5" s="39"/>
    </row>
    <row r="6" ht="15.0" customHeight="1">
      <c r="A6" s="61" t="s">
        <v>37</v>
      </c>
      <c r="B6" s="82">
        <f t="shared" ref="B6:E6" si="1">COUNTIF($F10:$F998,B5)</f>
        <v>0</v>
      </c>
      <c r="C6" s="82">
        <f t="shared" si="1"/>
        <v>0</v>
      </c>
      <c r="D6" s="82">
        <f t="shared" si="1"/>
        <v>6</v>
      </c>
      <c r="E6" s="85">
        <f t="shared" si="1"/>
        <v>0</v>
      </c>
      <c r="F6" s="86"/>
      <c r="G6" s="86"/>
      <c r="H6" s="71"/>
      <c r="I6" s="86"/>
      <c r="J6" s="86"/>
      <c r="K6" s="71"/>
      <c r="L6" s="86"/>
      <c r="M6" s="86"/>
      <c r="N6" s="71"/>
      <c r="O6" s="71"/>
      <c r="P6" s="71"/>
      <c r="Q6" s="76"/>
      <c r="R6" s="39"/>
      <c r="S6" s="39"/>
      <c r="T6" s="39"/>
      <c r="U6" s="39"/>
      <c r="V6" s="39"/>
      <c r="W6" s="39"/>
      <c r="X6" s="39"/>
      <c r="Y6" s="39"/>
      <c r="Z6" s="39"/>
    </row>
    <row r="7" ht="15.0" customHeight="1">
      <c r="A7" s="61" t="s">
        <v>39</v>
      </c>
      <c r="B7" s="82">
        <f t="shared" ref="B7:E7" si="2">COUNTIF($F10:$F998,B5)</f>
        <v>0</v>
      </c>
      <c r="C7" s="82">
        <f t="shared" si="2"/>
        <v>0</v>
      </c>
      <c r="D7" s="82">
        <f t="shared" si="2"/>
        <v>6</v>
      </c>
      <c r="E7" s="85">
        <f t="shared" si="2"/>
        <v>0</v>
      </c>
      <c r="F7" s="86"/>
      <c r="G7" s="86"/>
      <c r="H7" s="71"/>
      <c r="I7" s="86"/>
      <c r="J7" s="86"/>
      <c r="K7" s="71"/>
      <c r="L7" s="86"/>
      <c r="M7" s="86"/>
      <c r="N7" s="71"/>
      <c r="O7" s="71"/>
      <c r="P7" s="71"/>
      <c r="Q7" s="76"/>
      <c r="R7" s="39"/>
      <c r="S7" s="39"/>
      <c r="T7" s="39"/>
      <c r="U7" s="39"/>
      <c r="V7" s="39"/>
      <c r="W7" s="39"/>
      <c r="X7" s="39"/>
      <c r="Y7" s="39"/>
      <c r="Z7" s="39"/>
    </row>
    <row r="8" ht="15.0" customHeight="1">
      <c r="A8" s="89" t="s">
        <v>40</v>
      </c>
      <c r="B8" s="90">
        <f t="shared" ref="B8:E8" si="3">COUNTIF($F10:$F998,B5)</f>
        <v>0</v>
      </c>
      <c r="C8" s="90">
        <f t="shared" si="3"/>
        <v>0</v>
      </c>
      <c r="D8" s="90">
        <f t="shared" si="3"/>
        <v>6</v>
      </c>
      <c r="E8" s="91">
        <f t="shared" si="3"/>
        <v>0</v>
      </c>
      <c r="F8" s="86"/>
      <c r="G8" s="86"/>
      <c r="H8" s="71"/>
      <c r="I8" s="86"/>
      <c r="J8" s="86"/>
      <c r="K8" s="71"/>
      <c r="L8" s="86"/>
      <c r="M8" s="86"/>
      <c r="N8" s="71"/>
      <c r="O8" s="71"/>
      <c r="P8" s="71"/>
      <c r="Q8" s="76"/>
      <c r="R8" s="39"/>
      <c r="S8" s="39"/>
      <c r="T8" s="39"/>
      <c r="U8" s="39"/>
      <c r="V8" s="39"/>
      <c r="W8" s="39"/>
      <c r="X8" s="39"/>
      <c r="Y8" s="39"/>
      <c r="Z8" s="39"/>
    </row>
    <row r="9" ht="15.0" customHeight="1">
      <c r="A9" s="71"/>
      <c r="B9" s="71"/>
      <c r="C9" s="71"/>
      <c r="D9" s="71"/>
      <c r="E9" s="71"/>
      <c r="F9" s="97"/>
      <c r="G9" s="71"/>
      <c r="H9" s="71"/>
      <c r="I9" s="97"/>
      <c r="J9" s="71"/>
      <c r="K9" s="71"/>
      <c r="L9" s="97"/>
      <c r="M9" s="71"/>
      <c r="N9" s="71"/>
      <c r="O9" s="71"/>
      <c r="P9" s="71"/>
      <c r="Q9" s="76"/>
      <c r="R9" s="39"/>
      <c r="S9" s="39"/>
      <c r="T9" s="39"/>
      <c r="U9" s="39"/>
      <c r="V9" s="39"/>
      <c r="W9" s="39"/>
      <c r="X9" s="39"/>
      <c r="Y9" s="39"/>
      <c r="Z9" s="39"/>
    </row>
    <row r="10" ht="25.5" customHeight="1">
      <c r="A10" s="104" t="s">
        <v>42</v>
      </c>
      <c r="B10" s="104" t="s">
        <v>43</v>
      </c>
      <c r="C10" s="104" t="s">
        <v>44</v>
      </c>
      <c r="D10" s="104" t="s">
        <v>45</v>
      </c>
      <c r="E10" s="104" t="s">
        <v>46</v>
      </c>
      <c r="F10" s="104" t="s">
        <v>37</v>
      </c>
      <c r="G10" s="104" t="s">
        <v>47</v>
      </c>
      <c r="H10" s="104" t="s">
        <v>48</v>
      </c>
      <c r="I10" s="104" t="s">
        <v>39</v>
      </c>
      <c r="J10" s="104" t="s">
        <v>47</v>
      </c>
      <c r="K10" s="104" t="s">
        <v>48</v>
      </c>
      <c r="L10" s="104" t="s">
        <v>40</v>
      </c>
      <c r="M10" s="104" t="s">
        <v>47</v>
      </c>
      <c r="N10" s="104" t="s">
        <v>48</v>
      </c>
      <c r="O10" s="104" t="s">
        <v>49</v>
      </c>
      <c r="P10" s="39"/>
      <c r="Q10" s="107"/>
      <c r="R10" s="39"/>
      <c r="S10" s="39"/>
      <c r="T10" s="39"/>
      <c r="U10" s="39"/>
      <c r="V10" s="39"/>
      <c r="W10" s="39"/>
      <c r="X10" s="39"/>
      <c r="Y10" s="39"/>
      <c r="Z10" s="39"/>
    </row>
    <row r="11" ht="15.75" customHeight="1">
      <c r="A11" s="112" t="s">
        <v>52</v>
      </c>
      <c r="B11" s="114" t="s">
        <v>54</v>
      </c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7"/>
      <c r="P11" s="39"/>
      <c r="Q11" s="118"/>
      <c r="R11" s="39"/>
      <c r="S11" s="39"/>
      <c r="T11" s="39"/>
      <c r="U11" s="39"/>
      <c r="V11" s="39"/>
      <c r="W11" s="39"/>
      <c r="X11" s="39"/>
      <c r="Y11" s="39"/>
      <c r="Z11" s="39"/>
    </row>
    <row r="12" ht="38.25" customHeight="1" outlineLevel="1">
      <c r="A12" s="120" t="s">
        <v>58</v>
      </c>
      <c r="B12" s="122" t="s">
        <v>85</v>
      </c>
      <c r="C12" s="144"/>
      <c r="D12" s="125"/>
      <c r="E12" s="126"/>
      <c r="F12" s="127" t="s">
        <v>28</v>
      </c>
      <c r="G12" s="127"/>
      <c r="H12" s="127"/>
      <c r="I12" s="127" t="s">
        <v>28</v>
      </c>
      <c r="J12" s="127"/>
      <c r="K12" s="127"/>
      <c r="L12" s="127" t="s">
        <v>28</v>
      </c>
      <c r="M12" s="127"/>
      <c r="N12" s="127"/>
      <c r="O12" s="127"/>
      <c r="P12" s="131"/>
      <c r="Q12" s="132"/>
      <c r="R12" s="131"/>
      <c r="S12" s="131"/>
      <c r="T12" s="131"/>
      <c r="U12" s="131"/>
      <c r="V12" s="131"/>
      <c r="W12" s="131"/>
      <c r="X12" s="131"/>
      <c r="Y12" s="131"/>
      <c r="Z12" s="131"/>
    </row>
    <row r="13" ht="41.25" customHeight="1" outlineLevel="1">
      <c r="A13" s="120" t="s">
        <v>66</v>
      </c>
      <c r="B13" s="127" t="s">
        <v>86</v>
      </c>
      <c r="C13" s="127"/>
      <c r="D13" s="134"/>
      <c r="E13" s="134"/>
      <c r="F13" s="127" t="s">
        <v>28</v>
      </c>
      <c r="G13" s="127"/>
      <c r="H13" s="127"/>
      <c r="I13" s="127" t="s">
        <v>28</v>
      </c>
      <c r="J13" s="127"/>
      <c r="K13" s="127"/>
      <c r="L13" s="127" t="s">
        <v>28</v>
      </c>
      <c r="M13" s="127"/>
      <c r="N13" s="127"/>
      <c r="O13" s="127"/>
      <c r="P13" s="3"/>
      <c r="Q13" s="132"/>
      <c r="R13" s="3"/>
      <c r="S13" s="3"/>
      <c r="T13" s="3"/>
      <c r="U13" s="3"/>
      <c r="V13" s="3"/>
      <c r="W13" s="3"/>
      <c r="X13" s="3"/>
      <c r="Y13" s="3"/>
      <c r="Z13" s="3"/>
    </row>
    <row r="14" ht="37.5" customHeight="1" outlineLevel="1">
      <c r="A14" s="120" t="s">
        <v>70</v>
      </c>
      <c r="B14" s="127" t="s">
        <v>71</v>
      </c>
      <c r="C14" s="127"/>
      <c r="D14" s="134"/>
      <c r="E14" s="134"/>
      <c r="F14" s="127" t="s">
        <v>28</v>
      </c>
      <c r="G14" s="127"/>
      <c r="H14" s="127"/>
      <c r="I14" s="127" t="s">
        <v>28</v>
      </c>
      <c r="J14" s="127"/>
      <c r="K14" s="127"/>
      <c r="L14" s="127" t="s">
        <v>28</v>
      </c>
      <c r="M14" s="127"/>
      <c r="N14" s="127"/>
      <c r="O14" s="127"/>
      <c r="P14" s="3"/>
      <c r="Q14" s="132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12" t="s">
        <v>72</v>
      </c>
      <c r="B15" s="135"/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7"/>
      <c r="P15" s="39"/>
      <c r="Q15" s="118"/>
      <c r="R15" s="39"/>
      <c r="S15" s="39"/>
      <c r="T15" s="39"/>
      <c r="U15" s="39"/>
      <c r="V15" s="39"/>
      <c r="W15" s="39"/>
      <c r="X15" s="39"/>
      <c r="Y15" s="39"/>
      <c r="Z15" s="39"/>
    </row>
    <row r="16" ht="12.75" customHeight="1" outlineLevel="1">
      <c r="A16" s="127" t="s">
        <v>74</v>
      </c>
      <c r="B16" s="127" t="s">
        <v>75</v>
      </c>
      <c r="C16" s="127"/>
      <c r="D16" s="127"/>
      <c r="E16" s="127"/>
      <c r="F16" s="127" t="s">
        <v>28</v>
      </c>
      <c r="G16" s="127"/>
      <c r="H16" s="127"/>
      <c r="I16" s="127" t="s">
        <v>28</v>
      </c>
      <c r="J16" s="127"/>
      <c r="K16" s="127"/>
      <c r="L16" s="127" t="s">
        <v>28</v>
      </c>
      <c r="M16" s="127"/>
      <c r="N16" s="127"/>
      <c r="O16" s="127"/>
      <c r="P16" s="3"/>
      <c r="Q16" s="132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 outlineLevel="1">
      <c r="A17" s="127" t="s">
        <v>76</v>
      </c>
      <c r="B17" s="127" t="s">
        <v>78</v>
      </c>
      <c r="C17" s="127"/>
      <c r="D17" s="127"/>
      <c r="E17" s="127"/>
      <c r="F17" s="127" t="s">
        <v>28</v>
      </c>
      <c r="G17" s="138"/>
      <c r="H17" s="138"/>
      <c r="I17" s="127" t="s">
        <v>28</v>
      </c>
      <c r="J17" s="138"/>
      <c r="K17" s="138"/>
      <c r="L17" s="127" t="s">
        <v>28</v>
      </c>
      <c r="M17" s="138"/>
      <c r="N17" s="138"/>
      <c r="O17" s="138"/>
      <c r="P17" s="3"/>
      <c r="Q17" s="17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112" t="s">
        <v>79</v>
      </c>
      <c r="B18" s="135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7"/>
      <c r="P18" s="39"/>
      <c r="Q18" s="118"/>
      <c r="R18" s="39"/>
      <c r="S18" s="39"/>
      <c r="T18" s="39"/>
      <c r="U18" s="39"/>
      <c r="V18" s="39"/>
      <c r="W18" s="39"/>
      <c r="X18" s="39"/>
      <c r="Y18" s="39"/>
      <c r="Z18" s="39"/>
    </row>
    <row r="19" ht="12.75" customHeight="1" outlineLevel="1">
      <c r="A19" s="127" t="s">
        <v>81</v>
      </c>
      <c r="B19" s="127" t="s">
        <v>82</v>
      </c>
      <c r="C19" s="127"/>
      <c r="D19" s="127"/>
      <c r="E19" s="127"/>
      <c r="F19" s="127" t="s">
        <v>28</v>
      </c>
      <c r="G19" s="127"/>
      <c r="H19" s="127"/>
      <c r="I19" s="127" t="s">
        <v>28</v>
      </c>
      <c r="J19" s="127"/>
      <c r="K19" s="127"/>
      <c r="L19" s="127" t="s">
        <v>28</v>
      </c>
      <c r="M19" s="127"/>
      <c r="N19" s="127"/>
      <c r="O19" s="127"/>
      <c r="P19" s="3"/>
      <c r="Q19" s="132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17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17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17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17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17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17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17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17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17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17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17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17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17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17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17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17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17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17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17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17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17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17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17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17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17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17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17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17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17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17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17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17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17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17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17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17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17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17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17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17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17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17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17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17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17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17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17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17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17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17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17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17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17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17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17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17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17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17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17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17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17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17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17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17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17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17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17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17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17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17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17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17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17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17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17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17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17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17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17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17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17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17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17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17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17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17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17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17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17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17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17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17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17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17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17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17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17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17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17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17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17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17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17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17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17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17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17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17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17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17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17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17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17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17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17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17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17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17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17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17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17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17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17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17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17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17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17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17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17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17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17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17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17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17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17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17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17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17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17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17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17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17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17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17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17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17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17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17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17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17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17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17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17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17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17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17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17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17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17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17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17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17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17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17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17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17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17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17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17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17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17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17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17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17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17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17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17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17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17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17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17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17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17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17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17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17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17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17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17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17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17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17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17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17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17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17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17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17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17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17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17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dataValidations>
    <dataValidation type="list" allowBlank="1" showErrorMessage="1" sqref="G2:G3 J2:J3 M2:M3 G9 J9 M9 F12:F19 I12:I19 L12:L19 G20:G147 J20:J147 M20:M147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