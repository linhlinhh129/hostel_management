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821" firstSheet="0" activeTab="3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Workflow Name1" sheetId="4" state="visible" r:id="rId4"/>
    <sheet name="Workflow Name2" sheetId="5" state="visible" r:id="rId5"/>
    <sheet name="Test Cases_TaoHopDong" sheetId="6" state="visible" r:id="rId6"/>
  </sheet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0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3" fillId="0" borderId="13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4" fillId="0" borderId="1" applyAlignment="1" pivotButton="0" quotePrefix="0" xfId="5">
      <alignment horizontal="center" vertical="center"/>
    </xf>
    <xf numFmtId="0" fontId="21" fillId="0" borderId="1" applyAlignment="1" pivotButton="0" quotePrefix="0" xfId="5">
      <alignment horizontal="left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zoomScale="85" zoomScaleNormal="85" workbookViewId="0">
      <selection activeCell="A1" sqref="A1"/>
    </sheetView>
  </sheetViews>
  <sheetFormatPr baseColWidth="8" defaultColWidth="9" defaultRowHeight="12.75"/>
  <cols>
    <col width="28.1328125" customWidth="1" style="126" min="1" max="1"/>
    <col width="10" customWidth="1" style="99" min="2" max="2"/>
    <col width="14.33203125" customWidth="1" style="99" min="3" max="3"/>
    <col width="8" customWidth="1" style="99" min="4" max="4"/>
    <col width="38" customWidth="1" style="99" min="5" max="5"/>
    <col width="48.1328125" customWidth="1" style="99" min="6" max="6"/>
    <col width="9" customWidth="1" style="99" min="7" max="256"/>
    <col width="28.1328125" customWidth="1" style="99" min="257" max="257"/>
    <col width="10" customWidth="1" style="99" min="258" max="258"/>
    <col width="14.33203125" customWidth="1" style="99" min="259" max="259"/>
    <col width="8" customWidth="1" style="99" min="260" max="260"/>
    <col width="38" customWidth="1" style="99" min="261" max="261"/>
    <col width="48.1328125" customWidth="1" style="99" min="262" max="262"/>
    <col width="9" customWidth="1" style="99" min="263" max="512"/>
    <col width="28.1328125" customWidth="1" style="99" min="513" max="513"/>
    <col width="10" customWidth="1" style="99" min="514" max="514"/>
    <col width="14.33203125" customWidth="1" style="99" min="515" max="515"/>
    <col width="8" customWidth="1" style="99" min="516" max="516"/>
    <col width="38" customWidth="1" style="99" min="517" max="517"/>
    <col width="48.1328125" customWidth="1" style="99" min="518" max="518"/>
    <col width="9" customWidth="1" style="99" min="519" max="768"/>
    <col width="28.1328125" customWidth="1" style="99" min="769" max="769"/>
    <col width="10" customWidth="1" style="99" min="770" max="770"/>
    <col width="14.33203125" customWidth="1" style="99" min="771" max="771"/>
    <col width="8" customWidth="1" style="99" min="772" max="772"/>
    <col width="38" customWidth="1" style="99" min="773" max="773"/>
    <col width="48.1328125" customWidth="1" style="99" min="774" max="774"/>
    <col width="9" customWidth="1" style="99" min="775" max="1024"/>
    <col width="28.1328125" customWidth="1" style="99" min="1025" max="1025"/>
    <col width="10" customWidth="1" style="99" min="1026" max="1026"/>
    <col width="14.33203125" customWidth="1" style="99" min="1027" max="1027"/>
    <col width="8" customWidth="1" style="99" min="1028" max="1028"/>
    <col width="38" customWidth="1" style="99" min="1029" max="1029"/>
    <col width="48.1328125" customWidth="1" style="99" min="1030" max="1030"/>
    <col width="9" customWidth="1" style="99" min="1031" max="1280"/>
    <col width="28.1328125" customWidth="1" style="99" min="1281" max="1281"/>
    <col width="10" customWidth="1" style="99" min="1282" max="1282"/>
    <col width="14.33203125" customWidth="1" style="99" min="1283" max="1283"/>
    <col width="8" customWidth="1" style="99" min="1284" max="1284"/>
    <col width="38" customWidth="1" style="99" min="1285" max="1285"/>
    <col width="48.1328125" customWidth="1" style="99" min="1286" max="1286"/>
    <col width="9" customWidth="1" style="99" min="1287" max="1536"/>
    <col width="28.1328125" customWidth="1" style="99" min="1537" max="1537"/>
    <col width="10" customWidth="1" style="99" min="1538" max="1538"/>
    <col width="14.33203125" customWidth="1" style="99" min="1539" max="1539"/>
    <col width="8" customWidth="1" style="99" min="1540" max="1540"/>
    <col width="38" customWidth="1" style="99" min="1541" max="1541"/>
    <col width="48.1328125" customWidth="1" style="99" min="1542" max="1542"/>
    <col width="9" customWidth="1" style="99" min="1543" max="1792"/>
    <col width="28.1328125" customWidth="1" style="99" min="1793" max="1793"/>
    <col width="10" customWidth="1" style="99" min="1794" max="1794"/>
    <col width="14.33203125" customWidth="1" style="99" min="1795" max="1795"/>
    <col width="8" customWidth="1" style="99" min="1796" max="1796"/>
    <col width="38" customWidth="1" style="99" min="1797" max="1797"/>
    <col width="48.1328125" customWidth="1" style="99" min="1798" max="1798"/>
    <col width="9" customWidth="1" style="99" min="1799" max="2048"/>
    <col width="28.1328125" customWidth="1" style="99" min="2049" max="2049"/>
    <col width="10" customWidth="1" style="99" min="2050" max="2050"/>
    <col width="14.33203125" customWidth="1" style="99" min="2051" max="2051"/>
    <col width="8" customWidth="1" style="99" min="2052" max="2052"/>
    <col width="38" customWidth="1" style="99" min="2053" max="2053"/>
    <col width="48.1328125" customWidth="1" style="99" min="2054" max="2054"/>
    <col width="9" customWidth="1" style="99" min="2055" max="2304"/>
    <col width="28.1328125" customWidth="1" style="99" min="2305" max="2305"/>
    <col width="10" customWidth="1" style="99" min="2306" max="2306"/>
    <col width="14.33203125" customWidth="1" style="99" min="2307" max="2307"/>
    <col width="8" customWidth="1" style="99" min="2308" max="2308"/>
    <col width="38" customWidth="1" style="99" min="2309" max="2309"/>
    <col width="48.1328125" customWidth="1" style="99" min="2310" max="2310"/>
    <col width="9" customWidth="1" style="99" min="2311" max="2560"/>
    <col width="28.1328125" customWidth="1" style="99" min="2561" max="2561"/>
    <col width="10" customWidth="1" style="99" min="2562" max="2562"/>
    <col width="14.33203125" customWidth="1" style="99" min="2563" max="2563"/>
    <col width="8" customWidth="1" style="99" min="2564" max="2564"/>
    <col width="38" customWidth="1" style="99" min="2565" max="2565"/>
    <col width="48.1328125" customWidth="1" style="99" min="2566" max="2566"/>
    <col width="9" customWidth="1" style="99" min="2567" max="2816"/>
    <col width="28.1328125" customWidth="1" style="99" min="2817" max="2817"/>
    <col width="10" customWidth="1" style="99" min="2818" max="2818"/>
    <col width="14.33203125" customWidth="1" style="99" min="2819" max="2819"/>
    <col width="8" customWidth="1" style="99" min="2820" max="2820"/>
    <col width="38" customWidth="1" style="99" min="2821" max="2821"/>
    <col width="48.1328125" customWidth="1" style="99" min="2822" max="2822"/>
    <col width="9" customWidth="1" style="99" min="2823" max="3072"/>
    <col width="28.1328125" customWidth="1" style="99" min="3073" max="3073"/>
    <col width="10" customWidth="1" style="99" min="3074" max="3074"/>
    <col width="14.33203125" customWidth="1" style="99" min="3075" max="3075"/>
    <col width="8" customWidth="1" style="99" min="3076" max="3076"/>
    <col width="38" customWidth="1" style="99" min="3077" max="3077"/>
    <col width="48.1328125" customWidth="1" style="99" min="3078" max="3078"/>
    <col width="9" customWidth="1" style="99" min="3079" max="3328"/>
    <col width="28.1328125" customWidth="1" style="99" min="3329" max="3329"/>
    <col width="10" customWidth="1" style="99" min="3330" max="3330"/>
    <col width="14.33203125" customWidth="1" style="99" min="3331" max="3331"/>
    <col width="8" customWidth="1" style="99" min="3332" max="3332"/>
    <col width="38" customWidth="1" style="99" min="3333" max="3333"/>
    <col width="48.1328125" customWidth="1" style="99" min="3334" max="3334"/>
    <col width="9" customWidth="1" style="99" min="3335" max="3584"/>
    <col width="28.1328125" customWidth="1" style="99" min="3585" max="3585"/>
    <col width="10" customWidth="1" style="99" min="3586" max="3586"/>
    <col width="14.33203125" customWidth="1" style="99" min="3587" max="3587"/>
    <col width="8" customWidth="1" style="99" min="3588" max="3588"/>
    <col width="38" customWidth="1" style="99" min="3589" max="3589"/>
    <col width="48.1328125" customWidth="1" style="99" min="3590" max="3590"/>
    <col width="9" customWidth="1" style="99" min="3591" max="3840"/>
    <col width="28.1328125" customWidth="1" style="99" min="3841" max="3841"/>
    <col width="10" customWidth="1" style="99" min="3842" max="3842"/>
    <col width="14.33203125" customWidth="1" style="99" min="3843" max="3843"/>
    <col width="8" customWidth="1" style="99" min="3844" max="3844"/>
    <col width="38" customWidth="1" style="99" min="3845" max="3845"/>
    <col width="48.1328125" customWidth="1" style="99" min="3846" max="3846"/>
    <col width="9" customWidth="1" style="99" min="3847" max="4096"/>
    <col width="28.1328125" customWidth="1" style="99" min="4097" max="4097"/>
    <col width="10" customWidth="1" style="99" min="4098" max="4098"/>
    <col width="14.33203125" customWidth="1" style="99" min="4099" max="4099"/>
    <col width="8" customWidth="1" style="99" min="4100" max="4100"/>
    <col width="38" customWidth="1" style="99" min="4101" max="4101"/>
    <col width="48.1328125" customWidth="1" style="99" min="4102" max="4102"/>
    <col width="9" customWidth="1" style="99" min="4103" max="4352"/>
    <col width="28.1328125" customWidth="1" style="99" min="4353" max="4353"/>
    <col width="10" customWidth="1" style="99" min="4354" max="4354"/>
    <col width="14.33203125" customWidth="1" style="99" min="4355" max="4355"/>
    <col width="8" customWidth="1" style="99" min="4356" max="4356"/>
    <col width="38" customWidth="1" style="99" min="4357" max="4357"/>
    <col width="48.1328125" customWidth="1" style="99" min="4358" max="4358"/>
    <col width="9" customWidth="1" style="99" min="4359" max="4608"/>
    <col width="28.1328125" customWidth="1" style="99" min="4609" max="4609"/>
    <col width="10" customWidth="1" style="99" min="4610" max="4610"/>
    <col width="14.33203125" customWidth="1" style="99" min="4611" max="4611"/>
    <col width="8" customWidth="1" style="99" min="4612" max="4612"/>
    <col width="38" customWidth="1" style="99" min="4613" max="4613"/>
    <col width="48.1328125" customWidth="1" style="99" min="4614" max="4614"/>
    <col width="9" customWidth="1" style="99" min="4615" max="4864"/>
    <col width="28.1328125" customWidth="1" style="99" min="4865" max="4865"/>
    <col width="10" customWidth="1" style="99" min="4866" max="4866"/>
    <col width="14.33203125" customWidth="1" style="99" min="4867" max="4867"/>
    <col width="8" customWidth="1" style="99" min="4868" max="4868"/>
    <col width="38" customWidth="1" style="99" min="4869" max="4869"/>
    <col width="48.1328125" customWidth="1" style="99" min="4870" max="4870"/>
    <col width="9" customWidth="1" style="99" min="4871" max="5120"/>
    <col width="28.1328125" customWidth="1" style="99" min="5121" max="5121"/>
    <col width="10" customWidth="1" style="99" min="5122" max="5122"/>
    <col width="14.33203125" customWidth="1" style="99" min="5123" max="5123"/>
    <col width="8" customWidth="1" style="99" min="5124" max="5124"/>
    <col width="38" customWidth="1" style="99" min="5125" max="5125"/>
    <col width="48.1328125" customWidth="1" style="99" min="5126" max="5126"/>
    <col width="9" customWidth="1" style="99" min="5127" max="5376"/>
    <col width="28.1328125" customWidth="1" style="99" min="5377" max="5377"/>
    <col width="10" customWidth="1" style="99" min="5378" max="5378"/>
    <col width="14.33203125" customWidth="1" style="99" min="5379" max="5379"/>
    <col width="8" customWidth="1" style="99" min="5380" max="5380"/>
    <col width="38" customWidth="1" style="99" min="5381" max="5381"/>
    <col width="48.1328125" customWidth="1" style="99" min="5382" max="5382"/>
    <col width="9" customWidth="1" style="99" min="5383" max="5632"/>
    <col width="28.1328125" customWidth="1" style="99" min="5633" max="5633"/>
    <col width="10" customWidth="1" style="99" min="5634" max="5634"/>
    <col width="14.33203125" customWidth="1" style="99" min="5635" max="5635"/>
    <col width="8" customWidth="1" style="99" min="5636" max="5636"/>
    <col width="38" customWidth="1" style="99" min="5637" max="5637"/>
    <col width="48.1328125" customWidth="1" style="99" min="5638" max="5638"/>
    <col width="9" customWidth="1" style="99" min="5639" max="5888"/>
    <col width="28.1328125" customWidth="1" style="99" min="5889" max="5889"/>
    <col width="10" customWidth="1" style="99" min="5890" max="5890"/>
    <col width="14.33203125" customWidth="1" style="99" min="5891" max="5891"/>
    <col width="8" customWidth="1" style="99" min="5892" max="5892"/>
    <col width="38" customWidth="1" style="99" min="5893" max="5893"/>
    <col width="48.1328125" customWidth="1" style="99" min="5894" max="5894"/>
    <col width="9" customWidth="1" style="99" min="5895" max="6144"/>
    <col width="28.1328125" customWidth="1" style="99" min="6145" max="6145"/>
    <col width="10" customWidth="1" style="99" min="6146" max="6146"/>
    <col width="14.33203125" customWidth="1" style="99" min="6147" max="6147"/>
    <col width="8" customWidth="1" style="99" min="6148" max="6148"/>
    <col width="38" customWidth="1" style="99" min="6149" max="6149"/>
    <col width="48.1328125" customWidth="1" style="99" min="6150" max="6150"/>
    <col width="9" customWidth="1" style="99" min="6151" max="6400"/>
    <col width="28.1328125" customWidth="1" style="99" min="6401" max="6401"/>
    <col width="10" customWidth="1" style="99" min="6402" max="6402"/>
    <col width="14.33203125" customWidth="1" style="99" min="6403" max="6403"/>
    <col width="8" customWidth="1" style="99" min="6404" max="6404"/>
    <col width="38" customWidth="1" style="99" min="6405" max="6405"/>
    <col width="48.1328125" customWidth="1" style="99" min="6406" max="6406"/>
    <col width="9" customWidth="1" style="99" min="6407" max="6656"/>
    <col width="28.1328125" customWidth="1" style="99" min="6657" max="6657"/>
    <col width="10" customWidth="1" style="99" min="6658" max="6658"/>
    <col width="14.33203125" customWidth="1" style="99" min="6659" max="6659"/>
    <col width="8" customWidth="1" style="99" min="6660" max="6660"/>
    <col width="38" customWidth="1" style="99" min="6661" max="6661"/>
    <col width="48.1328125" customWidth="1" style="99" min="6662" max="6662"/>
    <col width="9" customWidth="1" style="99" min="6663" max="6912"/>
    <col width="28.1328125" customWidth="1" style="99" min="6913" max="6913"/>
    <col width="10" customWidth="1" style="99" min="6914" max="6914"/>
    <col width="14.33203125" customWidth="1" style="99" min="6915" max="6915"/>
    <col width="8" customWidth="1" style="99" min="6916" max="6916"/>
    <col width="38" customWidth="1" style="99" min="6917" max="6917"/>
    <col width="48.1328125" customWidth="1" style="99" min="6918" max="6918"/>
    <col width="9" customWidth="1" style="99" min="6919" max="7168"/>
    <col width="28.1328125" customWidth="1" style="99" min="7169" max="7169"/>
    <col width="10" customWidth="1" style="99" min="7170" max="7170"/>
    <col width="14.33203125" customWidth="1" style="99" min="7171" max="7171"/>
    <col width="8" customWidth="1" style="99" min="7172" max="7172"/>
    <col width="38" customWidth="1" style="99" min="7173" max="7173"/>
    <col width="48.1328125" customWidth="1" style="99" min="7174" max="7174"/>
    <col width="9" customWidth="1" style="99" min="7175" max="7424"/>
    <col width="28.1328125" customWidth="1" style="99" min="7425" max="7425"/>
    <col width="10" customWidth="1" style="99" min="7426" max="7426"/>
    <col width="14.33203125" customWidth="1" style="99" min="7427" max="7427"/>
    <col width="8" customWidth="1" style="99" min="7428" max="7428"/>
    <col width="38" customWidth="1" style="99" min="7429" max="7429"/>
    <col width="48.1328125" customWidth="1" style="99" min="7430" max="7430"/>
    <col width="9" customWidth="1" style="99" min="7431" max="7680"/>
    <col width="28.1328125" customWidth="1" style="99" min="7681" max="7681"/>
    <col width="10" customWidth="1" style="99" min="7682" max="7682"/>
    <col width="14.33203125" customWidth="1" style="99" min="7683" max="7683"/>
    <col width="8" customWidth="1" style="99" min="7684" max="7684"/>
    <col width="38" customWidth="1" style="99" min="7685" max="7685"/>
    <col width="48.1328125" customWidth="1" style="99" min="7686" max="7686"/>
    <col width="9" customWidth="1" style="99" min="7687" max="7936"/>
    <col width="28.1328125" customWidth="1" style="99" min="7937" max="7937"/>
    <col width="10" customWidth="1" style="99" min="7938" max="7938"/>
    <col width="14.33203125" customWidth="1" style="99" min="7939" max="7939"/>
    <col width="8" customWidth="1" style="99" min="7940" max="7940"/>
    <col width="38" customWidth="1" style="99" min="7941" max="7941"/>
    <col width="48.1328125" customWidth="1" style="99" min="7942" max="7942"/>
    <col width="9" customWidth="1" style="99" min="7943" max="8192"/>
    <col width="28.1328125" customWidth="1" style="99" min="8193" max="8193"/>
    <col width="10" customWidth="1" style="99" min="8194" max="8194"/>
    <col width="14.33203125" customWidth="1" style="99" min="8195" max="8195"/>
    <col width="8" customWidth="1" style="99" min="8196" max="8196"/>
    <col width="38" customWidth="1" style="99" min="8197" max="8197"/>
    <col width="48.1328125" customWidth="1" style="99" min="8198" max="8198"/>
    <col width="9" customWidth="1" style="99" min="8199" max="8448"/>
    <col width="28.1328125" customWidth="1" style="99" min="8449" max="8449"/>
    <col width="10" customWidth="1" style="99" min="8450" max="8450"/>
    <col width="14.33203125" customWidth="1" style="99" min="8451" max="8451"/>
    <col width="8" customWidth="1" style="99" min="8452" max="8452"/>
    <col width="38" customWidth="1" style="99" min="8453" max="8453"/>
    <col width="48.1328125" customWidth="1" style="99" min="8454" max="8454"/>
    <col width="9" customWidth="1" style="99" min="8455" max="8704"/>
    <col width="28.1328125" customWidth="1" style="99" min="8705" max="8705"/>
    <col width="10" customWidth="1" style="99" min="8706" max="8706"/>
    <col width="14.33203125" customWidth="1" style="99" min="8707" max="8707"/>
    <col width="8" customWidth="1" style="99" min="8708" max="8708"/>
    <col width="38" customWidth="1" style="99" min="8709" max="8709"/>
    <col width="48.1328125" customWidth="1" style="99" min="8710" max="8710"/>
    <col width="9" customWidth="1" style="99" min="8711" max="8960"/>
    <col width="28.1328125" customWidth="1" style="99" min="8961" max="8961"/>
    <col width="10" customWidth="1" style="99" min="8962" max="8962"/>
    <col width="14.33203125" customWidth="1" style="99" min="8963" max="8963"/>
    <col width="8" customWidth="1" style="99" min="8964" max="8964"/>
    <col width="38" customWidth="1" style="99" min="8965" max="8965"/>
    <col width="48.1328125" customWidth="1" style="99" min="8966" max="8966"/>
    <col width="9" customWidth="1" style="99" min="8967" max="9216"/>
    <col width="28.1328125" customWidth="1" style="99" min="9217" max="9217"/>
    <col width="10" customWidth="1" style="99" min="9218" max="9218"/>
    <col width="14.33203125" customWidth="1" style="99" min="9219" max="9219"/>
    <col width="8" customWidth="1" style="99" min="9220" max="9220"/>
    <col width="38" customWidth="1" style="99" min="9221" max="9221"/>
    <col width="48.1328125" customWidth="1" style="99" min="9222" max="9222"/>
    <col width="9" customWidth="1" style="99" min="9223" max="9472"/>
    <col width="28.1328125" customWidth="1" style="99" min="9473" max="9473"/>
    <col width="10" customWidth="1" style="99" min="9474" max="9474"/>
    <col width="14.33203125" customWidth="1" style="99" min="9475" max="9475"/>
    <col width="8" customWidth="1" style="99" min="9476" max="9476"/>
    <col width="38" customWidth="1" style="99" min="9477" max="9477"/>
    <col width="48.1328125" customWidth="1" style="99" min="9478" max="9478"/>
    <col width="9" customWidth="1" style="99" min="9479" max="9728"/>
    <col width="28.1328125" customWidth="1" style="99" min="9729" max="9729"/>
    <col width="10" customWidth="1" style="99" min="9730" max="9730"/>
    <col width="14.33203125" customWidth="1" style="99" min="9731" max="9731"/>
    <col width="8" customWidth="1" style="99" min="9732" max="9732"/>
    <col width="38" customWidth="1" style="99" min="9733" max="9733"/>
    <col width="48.1328125" customWidth="1" style="99" min="9734" max="9734"/>
    <col width="9" customWidth="1" style="99" min="9735" max="9984"/>
    <col width="28.1328125" customWidth="1" style="99" min="9985" max="9985"/>
    <col width="10" customWidth="1" style="99" min="9986" max="9986"/>
    <col width="14.33203125" customWidth="1" style="99" min="9987" max="9987"/>
    <col width="8" customWidth="1" style="99" min="9988" max="9988"/>
    <col width="38" customWidth="1" style="99" min="9989" max="9989"/>
    <col width="48.1328125" customWidth="1" style="99" min="9990" max="9990"/>
    <col width="9" customWidth="1" style="99" min="9991" max="10240"/>
    <col width="28.1328125" customWidth="1" style="99" min="10241" max="10241"/>
    <col width="10" customWidth="1" style="99" min="10242" max="10242"/>
    <col width="14.33203125" customWidth="1" style="99" min="10243" max="10243"/>
    <col width="8" customWidth="1" style="99" min="10244" max="10244"/>
    <col width="38" customWidth="1" style="99" min="10245" max="10245"/>
    <col width="48.1328125" customWidth="1" style="99" min="10246" max="10246"/>
    <col width="9" customWidth="1" style="99" min="10247" max="10496"/>
    <col width="28.1328125" customWidth="1" style="99" min="10497" max="10497"/>
    <col width="10" customWidth="1" style="99" min="10498" max="10498"/>
    <col width="14.33203125" customWidth="1" style="99" min="10499" max="10499"/>
    <col width="8" customWidth="1" style="99" min="10500" max="10500"/>
    <col width="38" customWidth="1" style="99" min="10501" max="10501"/>
    <col width="48.1328125" customWidth="1" style="99" min="10502" max="10502"/>
    <col width="9" customWidth="1" style="99" min="10503" max="10752"/>
    <col width="28.1328125" customWidth="1" style="99" min="10753" max="10753"/>
    <col width="10" customWidth="1" style="99" min="10754" max="10754"/>
    <col width="14.33203125" customWidth="1" style="99" min="10755" max="10755"/>
    <col width="8" customWidth="1" style="99" min="10756" max="10756"/>
    <col width="38" customWidth="1" style="99" min="10757" max="10757"/>
    <col width="48.1328125" customWidth="1" style="99" min="10758" max="10758"/>
    <col width="9" customWidth="1" style="99" min="10759" max="11008"/>
    <col width="28.1328125" customWidth="1" style="99" min="11009" max="11009"/>
    <col width="10" customWidth="1" style="99" min="11010" max="11010"/>
    <col width="14.33203125" customWidth="1" style="99" min="11011" max="11011"/>
    <col width="8" customWidth="1" style="99" min="11012" max="11012"/>
    <col width="38" customWidth="1" style="99" min="11013" max="11013"/>
    <col width="48.1328125" customWidth="1" style="99" min="11014" max="11014"/>
    <col width="9" customWidth="1" style="99" min="11015" max="11264"/>
    <col width="28.1328125" customWidth="1" style="99" min="11265" max="11265"/>
    <col width="10" customWidth="1" style="99" min="11266" max="11266"/>
    <col width="14.33203125" customWidth="1" style="99" min="11267" max="11267"/>
    <col width="8" customWidth="1" style="99" min="11268" max="11268"/>
    <col width="38" customWidth="1" style="99" min="11269" max="11269"/>
    <col width="48.1328125" customWidth="1" style="99" min="11270" max="11270"/>
    <col width="9" customWidth="1" style="99" min="11271" max="11520"/>
    <col width="28.1328125" customWidth="1" style="99" min="11521" max="11521"/>
    <col width="10" customWidth="1" style="99" min="11522" max="11522"/>
    <col width="14.33203125" customWidth="1" style="99" min="11523" max="11523"/>
    <col width="8" customWidth="1" style="99" min="11524" max="11524"/>
    <col width="38" customWidth="1" style="99" min="11525" max="11525"/>
    <col width="48.1328125" customWidth="1" style="99" min="11526" max="11526"/>
    <col width="9" customWidth="1" style="99" min="11527" max="11776"/>
    <col width="28.1328125" customWidth="1" style="99" min="11777" max="11777"/>
    <col width="10" customWidth="1" style="99" min="11778" max="11778"/>
    <col width="14.33203125" customWidth="1" style="99" min="11779" max="11779"/>
    <col width="8" customWidth="1" style="99" min="11780" max="11780"/>
    <col width="38" customWidth="1" style="99" min="11781" max="11781"/>
    <col width="48.1328125" customWidth="1" style="99" min="11782" max="11782"/>
    <col width="9" customWidth="1" style="99" min="11783" max="12032"/>
    <col width="28.1328125" customWidth="1" style="99" min="12033" max="12033"/>
    <col width="10" customWidth="1" style="99" min="12034" max="12034"/>
    <col width="14.33203125" customWidth="1" style="99" min="12035" max="12035"/>
    <col width="8" customWidth="1" style="99" min="12036" max="12036"/>
    <col width="38" customWidth="1" style="99" min="12037" max="12037"/>
    <col width="48.1328125" customWidth="1" style="99" min="12038" max="12038"/>
    <col width="9" customWidth="1" style="99" min="12039" max="12288"/>
    <col width="28.1328125" customWidth="1" style="99" min="12289" max="12289"/>
    <col width="10" customWidth="1" style="99" min="12290" max="12290"/>
    <col width="14.33203125" customWidth="1" style="99" min="12291" max="12291"/>
    <col width="8" customWidth="1" style="99" min="12292" max="12292"/>
    <col width="38" customWidth="1" style="99" min="12293" max="12293"/>
    <col width="48.1328125" customWidth="1" style="99" min="12294" max="12294"/>
    <col width="9" customWidth="1" style="99" min="12295" max="12544"/>
    <col width="28.1328125" customWidth="1" style="99" min="12545" max="12545"/>
    <col width="10" customWidth="1" style="99" min="12546" max="12546"/>
    <col width="14.33203125" customWidth="1" style="99" min="12547" max="12547"/>
    <col width="8" customWidth="1" style="99" min="12548" max="12548"/>
    <col width="38" customWidth="1" style="99" min="12549" max="12549"/>
    <col width="48.1328125" customWidth="1" style="99" min="12550" max="12550"/>
    <col width="9" customWidth="1" style="99" min="12551" max="12800"/>
    <col width="28.1328125" customWidth="1" style="99" min="12801" max="12801"/>
    <col width="10" customWidth="1" style="99" min="12802" max="12802"/>
    <col width="14.33203125" customWidth="1" style="99" min="12803" max="12803"/>
    <col width="8" customWidth="1" style="99" min="12804" max="12804"/>
    <col width="38" customWidth="1" style="99" min="12805" max="12805"/>
    <col width="48.1328125" customWidth="1" style="99" min="12806" max="12806"/>
    <col width="9" customWidth="1" style="99" min="12807" max="13056"/>
    <col width="28.1328125" customWidth="1" style="99" min="13057" max="13057"/>
    <col width="10" customWidth="1" style="99" min="13058" max="13058"/>
    <col width="14.33203125" customWidth="1" style="99" min="13059" max="13059"/>
    <col width="8" customWidth="1" style="99" min="13060" max="13060"/>
    <col width="38" customWidth="1" style="99" min="13061" max="13061"/>
    <col width="48.1328125" customWidth="1" style="99" min="13062" max="13062"/>
    <col width="9" customWidth="1" style="99" min="13063" max="13312"/>
    <col width="28.1328125" customWidth="1" style="99" min="13313" max="13313"/>
    <col width="10" customWidth="1" style="99" min="13314" max="13314"/>
    <col width="14.33203125" customWidth="1" style="99" min="13315" max="13315"/>
    <col width="8" customWidth="1" style="99" min="13316" max="13316"/>
    <col width="38" customWidth="1" style="99" min="13317" max="13317"/>
    <col width="48.1328125" customWidth="1" style="99" min="13318" max="13318"/>
    <col width="9" customWidth="1" style="99" min="13319" max="13568"/>
    <col width="28.1328125" customWidth="1" style="99" min="13569" max="13569"/>
    <col width="10" customWidth="1" style="99" min="13570" max="13570"/>
    <col width="14.33203125" customWidth="1" style="99" min="13571" max="13571"/>
    <col width="8" customWidth="1" style="99" min="13572" max="13572"/>
    <col width="38" customWidth="1" style="99" min="13573" max="13573"/>
    <col width="48.1328125" customWidth="1" style="99" min="13574" max="13574"/>
    <col width="9" customWidth="1" style="99" min="13575" max="13824"/>
    <col width="28.1328125" customWidth="1" style="99" min="13825" max="13825"/>
    <col width="10" customWidth="1" style="99" min="13826" max="13826"/>
    <col width="14.33203125" customWidth="1" style="99" min="13827" max="13827"/>
    <col width="8" customWidth="1" style="99" min="13828" max="13828"/>
    <col width="38" customWidth="1" style="99" min="13829" max="13829"/>
    <col width="48.1328125" customWidth="1" style="99" min="13830" max="13830"/>
    <col width="9" customWidth="1" style="99" min="13831" max="14080"/>
    <col width="28.1328125" customWidth="1" style="99" min="14081" max="14081"/>
    <col width="10" customWidth="1" style="99" min="14082" max="14082"/>
    <col width="14.33203125" customWidth="1" style="99" min="14083" max="14083"/>
    <col width="8" customWidth="1" style="99" min="14084" max="14084"/>
    <col width="38" customWidth="1" style="99" min="14085" max="14085"/>
    <col width="48.1328125" customWidth="1" style="99" min="14086" max="14086"/>
    <col width="9" customWidth="1" style="99" min="14087" max="14336"/>
    <col width="28.1328125" customWidth="1" style="99" min="14337" max="14337"/>
    <col width="10" customWidth="1" style="99" min="14338" max="14338"/>
    <col width="14.33203125" customWidth="1" style="99" min="14339" max="14339"/>
    <col width="8" customWidth="1" style="99" min="14340" max="14340"/>
    <col width="38" customWidth="1" style="99" min="14341" max="14341"/>
    <col width="48.1328125" customWidth="1" style="99" min="14342" max="14342"/>
    <col width="9" customWidth="1" style="99" min="14343" max="14592"/>
    <col width="28.1328125" customWidth="1" style="99" min="14593" max="14593"/>
    <col width="10" customWidth="1" style="99" min="14594" max="14594"/>
    <col width="14.33203125" customWidth="1" style="99" min="14595" max="14595"/>
    <col width="8" customWidth="1" style="99" min="14596" max="14596"/>
    <col width="38" customWidth="1" style="99" min="14597" max="14597"/>
    <col width="48.1328125" customWidth="1" style="99" min="14598" max="14598"/>
    <col width="9" customWidth="1" style="99" min="14599" max="14848"/>
    <col width="28.1328125" customWidth="1" style="99" min="14849" max="14849"/>
    <col width="10" customWidth="1" style="99" min="14850" max="14850"/>
    <col width="14.33203125" customWidth="1" style="99" min="14851" max="14851"/>
    <col width="8" customWidth="1" style="99" min="14852" max="14852"/>
    <col width="38" customWidth="1" style="99" min="14853" max="14853"/>
    <col width="48.1328125" customWidth="1" style="99" min="14854" max="14854"/>
    <col width="9" customWidth="1" style="99" min="14855" max="15104"/>
    <col width="28.1328125" customWidth="1" style="99" min="15105" max="15105"/>
    <col width="10" customWidth="1" style="99" min="15106" max="15106"/>
    <col width="14.33203125" customWidth="1" style="99" min="15107" max="15107"/>
    <col width="8" customWidth="1" style="99" min="15108" max="15108"/>
    <col width="38" customWidth="1" style="99" min="15109" max="15109"/>
    <col width="48.1328125" customWidth="1" style="99" min="15110" max="15110"/>
    <col width="9" customWidth="1" style="99" min="15111" max="15360"/>
    <col width="28.1328125" customWidth="1" style="99" min="15361" max="15361"/>
    <col width="10" customWidth="1" style="99" min="15362" max="15362"/>
    <col width="14.33203125" customWidth="1" style="99" min="15363" max="15363"/>
    <col width="8" customWidth="1" style="99" min="15364" max="15364"/>
    <col width="38" customWidth="1" style="99" min="15365" max="15365"/>
    <col width="48.1328125" customWidth="1" style="99" min="15366" max="15366"/>
    <col width="9" customWidth="1" style="99" min="15367" max="15616"/>
    <col width="28.1328125" customWidth="1" style="99" min="15617" max="15617"/>
    <col width="10" customWidth="1" style="99" min="15618" max="15618"/>
    <col width="14.33203125" customWidth="1" style="99" min="15619" max="15619"/>
    <col width="8" customWidth="1" style="99" min="15620" max="15620"/>
    <col width="38" customWidth="1" style="99" min="15621" max="15621"/>
    <col width="48.1328125" customWidth="1" style="99" min="15622" max="15622"/>
    <col width="9" customWidth="1" style="99" min="15623" max="15872"/>
    <col width="28.1328125" customWidth="1" style="99" min="15873" max="15873"/>
    <col width="10" customWidth="1" style="99" min="15874" max="15874"/>
    <col width="14.33203125" customWidth="1" style="99" min="15875" max="15875"/>
    <col width="8" customWidth="1" style="99" min="15876" max="15876"/>
    <col width="38" customWidth="1" style="99" min="15877" max="15877"/>
    <col width="48.1328125" customWidth="1" style="99" min="15878" max="15878"/>
    <col width="9" customWidth="1" style="99" min="15879" max="16128"/>
    <col width="28.1328125" customWidth="1" style="99" min="16129" max="16129"/>
    <col width="10" customWidth="1" style="99" min="16130" max="16130"/>
    <col width="14.33203125" customWidth="1" style="99" min="16131" max="16131"/>
    <col width="8" customWidth="1" style="99" min="16132" max="16132"/>
    <col width="38" customWidth="1" style="99" min="16133" max="16133"/>
    <col width="48.1328125" customWidth="1" style="99" min="16134" max="16134"/>
    <col width="9" customWidth="1" style="99" min="16135" max="16384"/>
  </cols>
  <sheetData>
    <row r="2" ht="75.75" customFormat="1" customHeight="1" s="96">
      <c r="A2" s="95" t="n"/>
      <c r="B2" s="127" t="inlineStr">
        <is>
          <t>SYSTEM TEST REPORT DOCUMENT</t>
        </is>
      </c>
      <c r="C2" s="143" t="n"/>
      <c r="D2" s="143" t="n"/>
      <c r="E2" s="143" t="n"/>
      <c r="F2" s="144" t="n"/>
    </row>
    <row r="3">
      <c r="A3" s="97" t="n"/>
      <c r="B3" s="98" t="n"/>
      <c r="E3" s="100" t="n"/>
    </row>
    <row r="4" ht="14.25" customHeight="1">
      <c r="A4" s="101" t="inlineStr">
        <is>
          <t>Project Name</t>
        </is>
      </c>
      <c r="B4" s="128" t="inlineStr">
        <is>
          <t>&lt;Project Name&gt;</t>
        </is>
      </c>
      <c r="C4" s="143" t="n"/>
      <c r="D4" s="144" t="n"/>
      <c r="E4" s="101" t="inlineStr">
        <is>
          <t>Creator</t>
        </is>
      </c>
      <c r="F4" s="102" t="n"/>
    </row>
    <row r="5" ht="14.25" customHeight="1">
      <c r="A5" s="101" t="inlineStr">
        <is>
          <t>Project Code</t>
        </is>
      </c>
      <c r="B5" s="128" t="inlineStr">
        <is>
          <t>&lt;Project Code&gt;</t>
        </is>
      </c>
      <c r="C5" s="143" t="n"/>
      <c r="D5" s="144" t="n"/>
      <c r="E5" s="101" t="inlineStr">
        <is>
          <t>Issue Date</t>
        </is>
      </c>
      <c r="F5" s="103" t="inlineStr">
        <is>
          <t>&lt;Date when this test report is created&gt;</t>
        </is>
      </c>
    </row>
    <row r="6" ht="15.75" customHeight="1">
      <c r="A6" s="104" t="inlineStr">
        <is>
          <t>Document Code</t>
        </is>
      </c>
      <c r="B6" s="145">
        <f>B5&amp;"_"&amp;"XXX"&amp;"_"&amp;"vx.x"</f>
        <v/>
      </c>
      <c r="C6" s="143" t="n"/>
      <c r="D6" s="144" t="n"/>
      <c r="E6" s="101" t="inlineStr">
        <is>
          <t>Version</t>
        </is>
      </c>
      <c r="F6" s="105" t="n"/>
    </row>
    <row r="7">
      <c r="A7" s="106" t="n"/>
      <c r="B7" s="107" t="n"/>
      <c r="E7" s="108" t="n"/>
      <c r="F7" s="98" t="n"/>
    </row>
    <row r="8">
      <c r="A8" s="99" t="n"/>
    </row>
    <row r="9">
      <c r="A9" s="109" t="inlineStr">
        <is>
          <t>Record of change</t>
        </is>
      </c>
    </row>
    <row r="10" customFormat="1" s="113">
      <c r="A10" s="110" t="inlineStr">
        <is>
          <t>Effective Date</t>
        </is>
      </c>
      <c r="B10" s="111" t="inlineStr">
        <is>
          <t>Version</t>
        </is>
      </c>
      <c r="C10" s="111" t="inlineStr">
        <is>
          <t>Change Item</t>
        </is>
      </c>
      <c r="D10" s="111" t="inlineStr">
        <is>
          <t>*A,D,M</t>
        </is>
      </c>
      <c r="E10" s="111" t="inlineStr">
        <is>
          <t>Change description</t>
        </is>
      </c>
      <c r="F10" s="112" t="inlineStr">
        <is>
          <t>Reference</t>
        </is>
      </c>
    </row>
    <row r="11" ht="26.25" customFormat="1" customHeight="1" s="119">
      <c r="A11" s="114" t="inlineStr">
        <is>
          <t>&lt;Date when these changes are effective&gt;</t>
        </is>
      </c>
      <c r="B11" s="115" t="n"/>
      <c r="C11" s="116" t="n"/>
      <c r="D11" s="116" t="n"/>
      <c r="E11" s="117" t="n"/>
      <c r="F11" s="118" t="inlineStr">
        <is>
          <t>&lt;List of documents which are refered in this version.&gt;</t>
        </is>
      </c>
    </row>
    <row r="12" ht="21.75" customFormat="1" customHeight="1" s="119">
      <c r="A12" s="120" t="n"/>
      <c r="B12" s="115" t="n"/>
      <c r="C12" s="116" t="n"/>
      <c r="D12" s="116" t="n"/>
      <c r="E12" s="116" t="n"/>
      <c r="F12" s="121" t="n"/>
    </row>
    <row r="13" ht="19.5" customFormat="1" customHeight="1" s="119">
      <c r="A13" s="120" t="n"/>
      <c r="B13" s="115" t="n"/>
      <c r="C13" s="116" t="n"/>
      <c r="D13" s="116" t="n"/>
      <c r="E13" s="116" t="n"/>
      <c r="F13" s="121" t="n"/>
    </row>
    <row r="14" ht="21.75" customFormat="1" customHeight="1" s="119">
      <c r="A14" s="120" t="n"/>
      <c r="B14" s="115" t="n"/>
      <c r="C14" s="116" t="n"/>
      <c r="D14" s="116" t="n"/>
      <c r="E14" s="116" t="n"/>
      <c r="F14" s="121" t="n"/>
    </row>
    <row r="15" ht="19.5" customFormat="1" customHeight="1" s="119">
      <c r="A15" s="120" t="n"/>
      <c r="B15" s="115" t="n"/>
      <c r="C15" s="116" t="n"/>
      <c r="D15" s="116" t="n"/>
      <c r="E15" s="116" t="n"/>
      <c r="F15" s="121" t="n"/>
    </row>
    <row r="16" ht="21.75" customFormat="1" customHeight="1" s="119">
      <c r="A16" s="120" t="n"/>
      <c r="B16" s="115" t="n"/>
      <c r="C16" s="116" t="n"/>
      <c r="D16" s="116" t="n"/>
      <c r="E16" s="116" t="n"/>
      <c r="F16" s="121" t="n"/>
    </row>
    <row r="17" ht="19.5" customFormat="1" customHeight="1" s="119">
      <c r="A17" s="122" t="n"/>
      <c r="B17" s="123" t="n"/>
      <c r="C17" s="124" t="n"/>
      <c r="D17" s="124" t="n"/>
      <c r="E17" s="124" t="n"/>
      <c r="F17" s="125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B12" sqref="B12"/>
    </sheetView>
  </sheetViews>
  <sheetFormatPr baseColWidth="8" defaultColWidth="9" defaultRowHeight="12.75"/>
  <cols>
    <col width="1.33203125" customWidth="1" style="1" min="1" max="1"/>
    <col width="6.3984375" customWidth="1" style="3" min="2" max="2"/>
    <col width="26.46484375" customWidth="1" style="4" min="3" max="3"/>
    <col width="17.1328125" customWidth="1" style="4" min="4" max="4"/>
    <col width="28.1328125" customWidth="1" style="4" min="5" max="5"/>
    <col width="30.6640625" customWidth="1" style="4" min="6" max="6"/>
    <col width="9" customWidth="1" style="1" min="7" max="16384"/>
  </cols>
  <sheetData>
    <row r="1" ht="24.4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34" t="inlineStr">
        <is>
          <t>Project Name</t>
        </is>
      </c>
      <c r="C3" s="143" t="n"/>
      <c r="D3" s="135">
        <f>#REF!</f>
        <v/>
      </c>
      <c r="E3" s="143" t="n"/>
      <c r="F3" s="144" t="n"/>
    </row>
    <row r="4">
      <c r="B4" s="134" t="inlineStr">
        <is>
          <t>Project Code</t>
        </is>
      </c>
      <c r="C4" s="143" t="n"/>
      <c r="D4" s="135">
        <f>#REF!</f>
        <v/>
      </c>
      <c r="E4" s="143" t="n"/>
      <c r="F4" s="144" t="n"/>
    </row>
    <row r="5" ht="84.75" customFormat="1" customHeight="1" s="9">
      <c r="B5" s="132" t="inlineStr">
        <is>
          <t>Test Environment Setup Description</t>
        </is>
      </c>
      <c r="C5" s="144" t="n"/>
      <c r="D5" s="133" t="inlineStr">
        <is>
          <t>&lt;List enviroment requires in this system
1. Server
2. Database
3. Web Browser
...
&gt;</t>
        </is>
      </c>
      <c r="E5" s="143" t="n"/>
      <c r="F5" s="144" t="n"/>
    </row>
    <row r="6">
      <c r="B6" s="10" t="n"/>
      <c r="C6" s="1" t="n"/>
      <c r="D6" s="1" t="n"/>
      <c r="E6" s="1" t="n"/>
      <c r="F6" s="1" t="n"/>
    </row>
    <row r="7" customFormat="1" s="11">
      <c r="B7" s="12" t="n"/>
      <c r="C7" s="13" t="n"/>
      <c r="D7" s="13" t="n"/>
      <c r="E7" s="13" t="n"/>
      <c r="F7" s="13" t="n"/>
    </row>
    <row r="8" ht="21" customFormat="1" customHeight="1" s="14">
      <c r="B8" s="15" t="inlineStr">
        <is>
          <t>No</t>
        </is>
      </c>
      <c r="C8" s="16" t="inlineStr">
        <is>
          <t>Function Name</t>
        </is>
      </c>
      <c r="D8" s="16" t="inlineStr">
        <is>
          <t>Sheet Name</t>
        </is>
      </c>
      <c r="E8" s="17" t="inlineStr">
        <is>
          <t>Description</t>
        </is>
      </c>
      <c r="F8" s="18" t="inlineStr">
        <is>
          <t>Pre-Condition</t>
        </is>
      </c>
    </row>
    <row r="9">
      <c r="B9" s="19" t="n">
        <v>1</v>
      </c>
      <c r="C9" s="20" t="inlineStr">
        <is>
          <t>Function A</t>
        </is>
      </c>
      <c r="D9" s="94" t="inlineStr">
        <is>
          <t>Workflow Name1</t>
        </is>
      </c>
      <c r="E9" s="21" t="n"/>
      <c r="F9" s="22" t="n"/>
    </row>
    <row r="10">
      <c r="B10" s="19" t="n">
        <v>2</v>
      </c>
      <c r="C10" s="20" t="inlineStr">
        <is>
          <t>Function B</t>
        </is>
      </c>
      <c r="D10" s="94" t="inlineStr">
        <is>
          <t>Workflow Name1</t>
        </is>
      </c>
      <c r="E10" s="21" t="n"/>
      <c r="F10" s="22" t="n"/>
    </row>
    <row r="11">
      <c r="B11" s="19" t="n">
        <v>3</v>
      </c>
      <c r="C11" s="20" t="inlineStr">
        <is>
          <t>Function C</t>
        </is>
      </c>
      <c r="D11" s="94" t="inlineStr">
        <is>
          <t>Workflow Name1</t>
        </is>
      </c>
      <c r="E11" s="21" t="n"/>
      <c r="F11" s="22" t="n"/>
    </row>
    <row r="12">
      <c r="B12" s="19" t="n">
        <v>4</v>
      </c>
      <c r="C12" s="20" t="inlineStr">
        <is>
          <t>Function D</t>
        </is>
      </c>
      <c r="D12" s="94" t="inlineStr">
        <is>
          <t>Workflow Name2</t>
        </is>
      </c>
      <c r="E12" s="21" t="n"/>
      <c r="F12" s="22" t="n"/>
    </row>
    <row r="13">
      <c r="B13" s="19" t="n">
        <v>5</v>
      </c>
      <c r="C13" s="20" t="inlineStr">
        <is>
          <t>Function E</t>
        </is>
      </c>
      <c r="D13" s="94" t="inlineStr">
        <is>
          <t>Workflow Name2</t>
        </is>
      </c>
      <c r="E13" s="21" t="n"/>
      <c r="F13" s="22" t="n"/>
    </row>
    <row r="14">
      <c r="B14" s="19" t="n"/>
      <c r="C14" s="20" t="n"/>
      <c r="D14" s="23" t="n"/>
      <c r="E14" s="23" t="n"/>
      <c r="F14" s="22" t="n"/>
    </row>
    <row r="15">
      <c r="B15" s="19" t="n"/>
      <c r="C15" s="20" t="n"/>
      <c r="D15" s="23" t="n"/>
      <c r="E15" s="23" t="n"/>
      <c r="F15" s="22" t="n"/>
    </row>
    <row r="16">
      <c r="B16" s="19" t="n"/>
      <c r="C16" s="20" t="n"/>
      <c r="D16" s="23" t="n"/>
      <c r="E16" s="23" t="n"/>
      <c r="F16" s="22" t="n"/>
    </row>
    <row r="17">
      <c r="B17" s="19" t="n"/>
      <c r="C17" s="20" t="n"/>
      <c r="D17" s="23" t="n"/>
      <c r="E17" s="23" t="n"/>
      <c r="F17" s="22" t="n"/>
    </row>
    <row r="18">
      <c r="B18" s="19" t="n"/>
      <c r="C18" s="20" t="n"/>
      <c r="D18" s="23" t="n"/>
      <c r="E18" s="23" t="n"/>
      <c r="F18" s="22" t="n"/>
    </row>
    <row r="19">
      <c r="B19" s="19" t="n"/>
      <c r="C19" s="20" t="n"/>
      <c r="D19" s="23" t="n"/>
      <c r="E19" s="23" t="n"/>
      <c r="F19" s="22" t="n"/>
    </row>
    <row r="20">
      <c r="B20" s="19" t="n"/>
      <c r="C20" s="20" t="n"/>
      <c r="D20" s="23" t="n"/>
      <c r="E20" s="23" t="n"/>
      <c r="F20" s="22" t="n"/>
    </row>
    <row r="21">
      <c r="B21" s="24" t="n"/>
      <c r="C21" s="25" t="n"/>
      <c r="D21" s="26" t="n"/>
      <c r="E21" s="26" t="n"/>
      <c r="F21" s="27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Workflow Name1'!A1" display="Workflow Name1"/>
    <hyperlink ref="D10" location="'Workflow Name1'!A1" display="Workflow Name1"/>
    <hyperlink ref="D11" location="'Workflow Name1'!A1" display="Workflow Name1"/>
    <hyperlink ref="D12" location="'Workflow Name2'!A1" display="Workflow Name2"/>
    <hyperlink ref="D13" location="'Workflow Name2'!A1" display="Workflow Nam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B2" sqref="B2"/>
    </sheetView>
  </sheetViews>
  <sheetFormatPr baseColWidth="8" defaultColWidth="9" defaultRowHeight="12.75"/>
  <cols>
    <col width="4.46484375" customWidth="1" style="1" min="1" max="1"/>
    <col width="18.33203125" customWidth="1" style="1" min="2" max="2"/>
    <col width="19.33203125" customWidth="1" style="1" min="3" max="3"/>
    <col width="11.6640625" customWidth="1" style="1" min="4" max="6"/>
    <col width="9" customWidth="1" style="1" min="7" max="7"/>
    <col width="35.46484375" customWidth="1" style="1" min="8" max="8"/>
    <col width="33.1328125" customWidth="1" style="1" min="9" max="9"/>
    <col width="9" customWidth="1" style="1" min="10" max="16384"/>
  </cols>
  <sheetData>
    <row r="1" ht="25.5" customHeight="1">
      <c r="B1" s="138" t="inlineStr">
        <is>
          <t>TEST STATISTICS</t>
        </is>
      </c>
    </row>
    <row r="2" ht="14.25" customHeight="1">
      <c r="A2" s="47" t="n"/>
      <c r="B2" s="47" t="n"/>
      <c r="C2" s="48" t="n"/>
      <c r="D2" s="48" t="n"/>
      <c r="E2" s="48" t="n"/>
      <c r="F2" s="48" t="n"/>
      <c r="G2" s="48" t="n"/>
      <c r="H2" s="49" t="n"/>
    </row>
    <row r="3" ht="12" customHeight="1">
      <c r="B3" s="2" t="inlineStr">
        <is>
          <t>Project Name</t>
        </is>
      </c>
      <c r="C3" s="135" t="inlineStr">
        <is>
          <t>&lt;Project Name&gt;</t>
        </is>
      </c>
      <c r="D3" s="144" t="n"/>
      <c r="E3" s="136" t="inlineStr">
        <is>
          <t>Creator</t>
        </is>
      </c>
      <c r="F3" s="144" t="n"/>
      <c r="G3" s="50" t="n"/>
      <c r="H3" s="51" t="n"/>
    </row>
    <row r="4" ht="12" customHeight="1">
      <c r="B4" s="2" t="inlineStr">
        <is>
          <t>Project Code</t>
        </is>
      </c>
      <c r="C4" s="135" t="inlineStr">
        <is>
          <t>&lt;Project Code&gt;</t>
        </is>
      </c>
      <c r="D4" s="144" t="n"/>
      <c r="E4" s="136" t="inlineStr">
        <is>
          <t>Reviewer/Approver</t>
        </is>
      </c>
      <c r="F4" s="144" t="n"/>
      <c r="G4" s="50" t="n"/>
      <c r="H4" s="51" t="n"/>
    </row>
    <row r="5" ht="12" customHeight="1">
      <c r="B5" s="52" t="inlineStr">
        <is>
          <t>Document Code</t>
        </is>
      </c>
      <c r="C5" s="135">
        <f>C4&amp;"_"&amp;"Test Report"&amp;"_"&amp;"vx.x"</f>
        <v/>
      </c>
      <c r="D5" s="144" t="n"/>
      <c r="E5" s="136" t="inlineStr">
        <is>
          <t>Issue Date</t>
        </is>
      </c>
      <c r="F5" s="144" t="n"/>
      <c r="G5" s="50" t="n"/>
      <c r="H5" s="53" t="inlineStr">
        <is>
          <t>&lt;Date when this test report is created&gt;</t>
        </is>
      </c>
    </row>
    <row r="6" ht="21.75" customHeight="1">
      <c r="A6" s="47" t="n"/>
      <c r="B6" s="52" t="inlineStr">
        <is>
          <t>Notes</t>
        </is>
      </c>
      <c r="C6" s="137" t="inlineStr">
        <is>
          <t>&lt;List modules included in this release&gt; ex: Release 1 includes 2 modules: Module1 and Module2</t>
        </is>
      </c>
      <c r="D6" s="143" t="n"/>
      <c r="E6" s="143" t="n"/>
      <c r="F6" s="143" t="n"/>
      <c r="G6" s="143" t="n"/>
      <c r="H6" s="144" t="n"/>
    </row>
    <row r="7" ht="14.25" customHeight="1">
      <c r="A7" s="47" t="n"/>
      <c r="B7" s="54" t="n"/>
      <c r="C7" s="55" t="n"/>
      <c r="D7" s="48" t="n"/>
      <c r="E7" s="48" t="n"/>
      <c r="F7" s="48" t="n"/>
      <c r="G7" s="48" t="n"/>
      <c r="H7" s="49" t="n"/>
    </row>
    <row r="8">
      <c r="B8" s="54" t="n"/>
      <c r="C8" s="55" t="n"/>
      <c r="D8" s="48" t="n"/>
      <c r="E8" s="48" t="n"/>
      <c r="F8" s="48" t="n"/>
      <c r="G8" s="48" t="n"/>
      <c r="H8" s="49" t="n"/>
    </row>
    <row r="10">
      <c r="A10" s="56" t="n"/>
      <c r="B10" s="57" t="inlineStr">
        <is>
          <t>No</t>
        </is>
      </c>
      <c r="C10" s="58" t="inlineStr">
        <is>
          <t>Module code</t>
        </is>
      </c>
      <c r="D10" s="59" t="inlineStr">
        <is>
          <t>Passed</t>
        </is>
      </c>
      <c r="E10" s="58" t="inlineStr">
        <is>
          <t>Failed</t>
        </is>
      </c>
      <c r="F10" s="58" t="inlineStr">
        <is>
          <t>Pending</t>
        </is>
      </c>
      <c r="G10" s="60" t="inlineStr">
        <is>
          <t>N/A</t>
        </is>
      </c>
      <c r="H10" s="61" t="inlineStr">
        <is>
          <t>Number of  test cases</t>
        </is>
      </c>
    </row>
    <row r="11">
      <c r="A11" s="56" t="n"/>
      <c r="B11" s="62" t="n">
        <v>1</v>
      </c>
      <c r="C11" s="63">
        <f>'Workflow Name1'!B2</f>
        <v/>
      </c>
      <c r="D11" s="64">
        <f>'Workflow Name1'!B6</f>
        <v/>
      </c>
      <c r="E11" s="64">
        <f>'Workflow Name1'!C6</f>
        <v/>
      </c>
      <c r="F11" s="64">
        <f>'Workflow Name1'!D6</f>
        <v/>
      </c>
      <c r="G11" s="64">
        <f>'Workflow Name1'!E6</f>
        <v/>
      </c>
      <c r="H11" s="66">
        <f>'Workflow Name1'!B4</f>
        <v/>
      </c>
    </row>
    <row r="12">
      <c r="A12" s="56" t="n"/>
      <c r="B12" s="62" t="n">
        <v>2</v>
      </c>
      <c r="C12" s="63">
        <f>'Workflow Name2'!B2</f>
        <v/>
      </c>
      <c r="D12" s="64">
        <f>'Workflow Name2'!B6</f>
        <v/>
      </c>
      <c r="E12" s="64">
        <f>'Workflow Name2'!C6</f>
        <v/>
      </c>
      <c r="F12" s="64">
        <f>'Workflow Name2'!D6</f>
        <v/>
      </c>
      <c r="G12" s="64">
        <f>'Workflow Name2'!E6</f>
        <v/>
      </c>
      <c r="H12" s="64">
        <f>'Workflow Name2'!B4</f>
        <v/>
      </c>
    </row>
    <row r="13">
      <c r="A13" s="56" t="n"/>
      <c r="B13" s="62" t="n"/>
      <c r="C13" s="63" t="n"/>
      <c r="D13" s="64" t="n"/>
      <c r="E13" s="64" t="n"/>
      <c r="F13" s="64" t="n"/>
      <c r="G13" s="65" t="n"/>
      <c r="H13" s="66" t="n"/>
    </row>
    <row r="14">
      <c r="A14" s="56" t="n"/>
      <c r="B14" s="67" t="n"/>
      <c r="C14" s="68" t="inlineStr">
        <is>
          <t>Sub total</t>
        </is>
      </c>
      <c r="D14" s="69">
        <f>SUM(D9:D13)</f>
        <v/>
      </c>
      <c r="E14" s="69">
        <f>SUM(E9:E13)</f>
        <v/>
      </c>
      <c r="F14" s="69">
        <f>SUM(F9:F13)</f>
        <v/>
      </c>
      <c r="G14" s="69">
        <f>SUM(G9:G13)</f>
        <v/>
      </c>
      <c r="H14" s="70">
        <f>SUM(H9:H13)</f>
        <v/>
      </c>
    </row>
    <row r="15">
      <c r="B15" s="71" t="n"/>
      <c r="D15" s="72" t="n"/>
      <c r="E15" s="73" t="n"/>
      <c r="F15" s="73" t="n"/>
      <c r="G15" s="73" t="n"/>
      <c r="H15" s="73" t="n"/>
    </row>
    <row r="16">
      <c r="C16" s="74" t="inlineStr">
        <is>
          <t>Test coverage</t>
        </is>
      </c>
      <c r="E16" s="75">
        <f>(D14+E14)*100/(H14-G14)</f>
        <v/>
      </c>
      <c r="F16" s="1" t="inlineStr">
        <is>
          <t>%</t>
        </is>
      </c>
      <c r="H16" s="33" t="n"/>
    </row>
    <row r="17">
      <c r="C17" s="74" t="inlineStr">
        <is>
          <t>Test successful coverage</t>
        </is>
      </c>
      <c r="E17" s="75">
        <f>D14*100/(H14-G14)</f>
        <v/>
      </c>
      <c r="F17" s="1" t="inlineStr">
        <is>
          <t>%</t>
        </is>
      </c>
      <c r="H17" s="33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19"/>
  <sheetViews>
    <sheetView tabSelected="1" zoomScale="85" zoomScaleNormal="85" workbookViewId="0">
      <pane ySplit="10" topLeftCell="A11" activePane="bottomLeft" state="frozen"/>
      <selection pane="bottomLeft" activeCell="B12" sqref="B12"/>
    </sheetView>
  </sheetViews>
  <sheetFormatPr baseColWidth="8" defaultColWidth="9" defaultRowHeight="12.75" outlineLevelRow="1"/>
  <cols>
    <col width="17" customWidth="1" style="1" min="1" max="1"/>
    <col width="34.46484375" customWidth="1" style="1" min="2" max="2"/>
    <col width="34.1328125" customWidth="1" style="1" min="3" max="3"/>
    <col width="34.6640625" customWidth="1" style="1" min="4" max="4"/>
    <col width="28.33203125" customWidth="1" style="1" min="5" max="5"/>
    <col width="9.33203125" customWidth="1" style="1" min="6" max="6"/>
    <col outlineLevel="1" width="10.6640625" customWidth="1" style="1" min="7" max="7"/>
    <col outlineLevel="1" width="7" bestFit="1" customWidth="1" style="1" min="8" max="8"/>
    <col width="9.33203125" customWidth="1" style="1" min="9" max="9"/>
    <col outlineLevel="1" width="10.6640625" customWidth="1" style="1" min="10" max="10"/>
    <col outlineLevel="1" width="7" bestFit="1" customWidth="1" style="1" min="11" max="11"/>
    <col width="9.33203125" customWidth="1" style="1" min="12" max="12"/>
    <col outlineLevel="1" width="10.6640625" customWidth="1" style="1" min="13" max="13"/>
    <col outlineLevel="1" width="7" bestFit="1" customWidth="1" style="1" min="14" max="14"/>
    <col width="28.6640625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&lt;Workflow Name1&gt;</t>
        </is>
      </c>
      <c r="C2" s="146" t="n"/>
      <c r="D2" s="146" t="n"/>
      <c r="E2" s="147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&lt;Brief description about requirements which are tested in this sheet&gt;</t>
        </is>
      </c>
      <c r="C3" s="148" t="n"/>
      <c r="D3" s="148" t="n"/>
      <c r="E3" s="149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COUNTA(A12:A1000)</f>
        <v/>
      </c>
      <c r="C4" s="148" t="n"/>
      <c r="D4" s="148" t="n"/>
      <c r="E4" s="149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COUNTIF($F10:$F998,B5)</f>
        <v/>
      </c>
      <c r="C6" s="85">
        <f>COUNTIF($F10:$F998,C5)</f>
        <v/>
      </c>
      <c r="D6" s="85">
        <f>COUNTIF($F10:$F998,D5)</f>
        <v/>
      </c>
      <c r="E6" s="91">
        <f>COUNTIF($F10:$F998,E5)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COUNTIF($F10:$F998,B5)</f>
        <v/>
      </c>
      <c r="C7" s="85">
        <f>COUNTIF($F10:$F998,C5)</f>
        <v/>
      </c>
      <c r="D7" s="85">
        <f>COUNTIF($F10:$F998,D5)</f>
        <v/>
      </c>
      <c r="E7" s="91">
        <f>COUNTIF($F10:$F998,E5)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COUNTIF($F10:$F998,B5)</f>
        <v/>
      </c>
      <c r="C8" s="89">
        <f>COUNTIF($F10:$F998,C5)</f>
        <v/>
      </c>
      <c r="D8" s="89">
        <f>COUNTIF($F10:$F998,D5)</f>
        <v/>
      </c>
      <c r="E8" s="90">
        <f>COUNTIF($F10:$F998,E5)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15.75" customFormat="1" customHeight="1" s="30">
      <c r="A11" s="79" t="inlineStr">
        <is>
          <t>Scenario A</t>
        </is>
      </c>
      <c r="B11" s="79" t="n"/>
      <c r="C11" s="80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1" t="n"/>
      <c r="Q11" s="38" t="n"/>
    </row>
    <row r="12" outlineLevel="1" ht="121.05" customFormat="1" customHeight="1" s="44">
      <c r="A12" s="39" t="inlineStr">
        <is>
          <t>&lt;ID1&gt;</t>
        </is>
      </c>
      <c r="B12" s="40" t="inlineStr">
        <is>
          <t>&lt;Brief description of this case: what is tested?&gt;
Ex: Test viewing "Company" form.</t>
        </is>
      </c>
      <c r="C12" s="40" t="inlineStr">
        <is>
          <t>&lt;Describe steps to perform this case&gt;
Ex:
1. Login the system with Manager role.
2. Click "Company" tab in the left menu.</t>
        </is>
      </c>
      <c r="D12" s="41" t="inlineStr">
        <is>
          <t>&lt;Describe results which meet customer's requirement&gt;
Ex:
The "Company" view form is displayed with the folowing informations:
- Company name
- Company address
- Phone
- Fax</t>
        </is>
      </c>
      <c r="E12" s="41" t="inlineStr">
        <is>
          <t xml:space="preserve">&lt;List all test cases or conditions that must be done before performing this case&gt;
</t>
        </is>
      </c>
      <c r="F12" s="39" t="inlineStr">
        <is>
          <t>Pending</t>
        </is>
      </c>
      <c r="G12" s="39" t="n"/>
      <c r="H12" s="39" t="n"/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n"/>
      <c r="Q12" s="43" t="n"/>
    </row>
    <row r="13" outlineLevel="1">
      <c r="A13" s="39" t="inlineStr">
        <is>
          <t>&lt;ID2&gt;</t>
        </is>
      </c>
      <c r="B13" s="39" t="inlineStr">
        <is>
          <t>&lt;Test case 2&gt;</t>
        </is>
      </c>
      <c r="C13" s="39" t="n"/>
      <c r="D13" s="45" t="n"/>
      <c r="E13" s="45" t="n"/>
      <c r="F13" s="39" t="inlineStr">
        <is>
          <t>Pending</t>
        </is>
      </c>
      <c r="G13" s="39" t="n"/>
      <c r="H13" s="39" t="n"/>
      <c r="I13" s="39" t="inlineStr">
        <is>
          <t>Pending</t>
        </is>
      </c>
      <c r="J13" s="39" t="n"/>
      <c r="K13" s="39" t="n"/>
      <c r="L13" s="39" t="inlineStr">
        <is>
          <t>Pending</t>
        </is>
      </c>
      <c r="M13" s="39" t="n"/>
      <c r="N13" s="39" t="n"/>
      <c r="O13" s="42" t="n"/>
      <c r="Q13" s="43" t="n"/>
    </row>
    <row r="14" outlineLevel="1">
      <c r="A14" s="39" t="inlineStr">
        <is>
          <t>&lt;ID3&gt;</t>
        </is>
      </c>
      <c r="B14" s="39" t="inlineStr">
        <is>
          <t>&lt;Test case 3&gt;</t>
        </is>
      </c>
      <c r="C14" s="39" t="n"/>
      <c r="D14" s="45" t="n"/>
      <c r="E14" s="45" t="n"/>
      <c r="F14" s="39" t="inlineStr">
        <is>
          <t>Pending</t>
        </is>
      </c>
      <c r="G14" s="39" t="n"/>
      <c r="H14" s="39" t="n"/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n"/>
      <c r="Q14" s="43" t="n"/>
    </row>
    <row r="15" ht="15.75" customFormat="1" customHeight="1" s="30">
      <c r="A15" s="79" t="inlineStr">
        <is>
          <t>Scenario B</t>
        </is>
      </c>
      <c r="B15" s="35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n"/>
      <c r="Q15" s="38" t="n"/>
    </row>
    <row r="16" outlineLevel="1">
      <c r="A16" s="39" t="inlineStr">
        <is>
          <t>&lt;ID4&gt;</t>
        </is>
      </c>
      <c r="B16" s="39" t="inlineStr">
        <is>
          <t>&lt;Test case 4&gt;</t>
        </is>
      </c>
      <c r="C16" s="39" t="n"/>
      <c r="D16" s="39" t="n"/>
      <c r="E16" s="39" t="n"/>
      <c r="F16" s="39" t="inlineStr">
        <is>
          <t>Pending</t>
        </is>
      </c>
      <c r="G16" s="39" t="n"/>
      <c r="H16" s="39" t="n"/>
      <c r="I16" s="39" t="inlineStr">
        <is>
          <t>Pending</t>
        </is>
      </c>
      <c r="J16" s="39" t="n"/>
      <c r="K16" s="39" t="n"/>
      <c r="L16" s="39" t="inlineStr">
        <is>
          <t>Pending</t>
        </is>
      </c>
      <c r="M16" s="39" t="n"/>
      <c r="N16" s="39" t="n"/>
      <c r="O16" s="42" t="n"/>
      <c r="Q16" s="43" t="n"/>
    </row>
    <row r="17" outlineLevel="1">
      <c r="A17" s="39" t="inlineStr">
        <is>
          <t>&lt;ID5&gt;</t>
        </is>
      </c>
      <c r="B17" s="39" t="inlineStr">
        <is>
          <t>&lt;Test case 5&gt;</t>
        </is>
      </c>
      <c r="C17" s="39" t="n"/>
      <c r="D17" s="39" t="n"/>
      <c r="E17" s="39" t="n"/>
      <c r="F17" s="39" t="inlineStr">
        <is>
          <t>Pending</t>
        </is>
      </c>
      <c r="G17" s="46" t="n"/>
      <c r="H17" s="46" t="n"/>
      <c r="I17" s="39" t="inlineStr">
        <is>
          <t>Pending</t>
        </is>
      </c>
      <c r="J17" s="46" t="n"/>
      <c r="K17" s="46" t="n"/>
      <c r="L17" s="39" t="inlineStr">
        <is>
          <t>Pending</t>
        </is>
      </c>
      <c r="M17" s="46" t="n"/>
      <c r="N17" s="46" t="n"/>
      <c r="O17" s="46" t="n"/>
    </row>
    <row r="18" ht="15.75" customFormat="1" customHeight="1" s="30">
      <c r="A18" s="79" t="inlineStr">
        <is>
          <t>Scenario C</t>
        </is>
      </c>
      <c r="B18" s="35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n"/>
      <c r="Q18" s="38" t="n"/>
    </row>
    <row r="19" outlineLevel="1">
      <c r="A19" s="39" t="inlineStr">
        <is>
          <t>&lt;ID6&gt;</t>
        </is>
      </c>
      <c r="B19" s="39" t="inlineStr">
        <is>
          <t>&lt;Test case 6&gt;</t>
        </is>
      </c>
      <c r="C19" s="39" t="n"/>
      <c r="D19" s="39" t="n"/>
      <c r="E19" s="39" t="n"/>
      <c r="F19" s="39" t="inlineStr">
        <is>
          <t>Pending</t>
        </is>
      </c>
      <c r="G19" s="39" t="n"/>
      <c r="H19" s="39" t="n"/>
      <c r="I19" s="39" t="inlineStr">
        <is>
          <t>Pending</t>
        </is>
      </c>
      <c r="J19" s="39" t="n"/>
      <c r="K19" s="39" t="n"/>
      <c r="L19" s="39" t="inlineStr">
        <is>
          <t>Pending</t>
        </is>
      </c>
      <c r="M19" s="39" t="n"/>
      <c r="N19" s="39" t="n"/>
      <c r="O19" s="42" t="n"/>
      <c r="Q19" s="43" t="n"/>
    </row>
  </sheetData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17"/>
  <sheetViews>
    <sheetView zoomScale="85" zoomScaleNormal="85" workbookViewId="0">
      <pane ySplit="10" topLeftCell="A11" activePane="bottomLeft" state="frozen"/>
      <selection pane="bottomLeft" activeCell="G1" sqref="G1"/>
    </sheetView>
  </sheetViews>
  <sheetFormatPr baseColWidth="8" defaultColWidth="9" defaultRowHeight="12.75" outlineLevelRow="1"/>
  <cols>
    <col width="17" customWidth="1" style="1" min="1" max="1"/>
    <col width="34.46484375" customWidth="1" style="1" min="2" max="2"/>
    <col width="33.33203125" customWidth="1" style="1" min="3" max="3"/>
    <col width="34.6640625" customWidth="1" style="1" min="4" max="4"/>
    <col width="28.33203125" customWidth="1" style="1" min="5" max="5"/>
    <col width="9.33203125" customWidth="1" style="1" min="6" max="6"/>
    <col outlineLevel="1" width="10.6640625" customWidth="1" style="1" min="7" max="7"/>
    <col outlineLevel="1" width="7" bestFit="1" customWidth="1" style="1" min="8" max="8"/>
    <col width="9.33203125" customWidth="1" style="1" min="9" max="9"/>
    <col outlineLevel="1" width="10.6640625" customWidth="1" style="1" min="10" max="10"/>
    <col outlineLevel="1" width="7" bestFit="1" customWidth="1" style="1" min="11" max="11"/>
    <col width="9.33203125" customWidth="1" style="1" min="12" max="12"/>
    <col outlineLevel="1" width="10.6640625" customWidth="1" style="1" min="13" max="13"/>
    <col outlineLevel="1" width="7" bestFit="1" customWidth="1" style="1" min="14" max="14"/>
    <col width="28.6640625" customWidth="1" style="1" min="15" max="15"/>
    <col width="10.1328125" customWidth="1" style="1" min="16" max="16"/>
    <col width="8.1328125" customWidth="1" style="28" min="17" max="17"/>
    <col hidden="1" width="7.6640625" customWidth="1" style="1" min="18" max="18"/>
    <col width="9" customWidth="1" style="1" min="19" max="16384"/>
  </cols>
  <sheetData>
    <row r="1" ht="13.15" customHeight="1" thickBot="1"/>
    <row r="2" ht="15" customFormat="1" customHeight="1" s="30">
      <c r="A2" s="92" t="inlineStr">
        <is>
          <t>Workflow</t>
        </is>
      </c>
      <c r="B2" s="139" t="inlineStr">
        <is>
          <t>&lt;Workflow Name2&gt;</t>
        </is>
      </c>
      <c r="C2" s="146" t="n"/>
      <c r="D2" s="146" t="n"/>
      <c r="E2" s="147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customFormat="1" s="30">
      <c r="A3" s="93" t="inlineStr">
        <is>
          <t>Test requirement</t>
        </is>
      </c>
      <c r="B3" s="141" t="inlineStr">
        <is>
          <t>&lt;Brief description about requirements which are tested in this sheet&gt;</t>
        </is>
      </c>
      <c r="C3" s="148" t="n"/>
      <c r="D3" s="148" t="n"/>
      <c r="E3" s="149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41">
        <f>COUNTA(A12:A998)</f>
        <v/>
      </c>
      <c r="C4" s="148" t="n"/>
      <c r="D4" s="148" t="n"/>
      <c r="E4" s="149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COUNTIF($F10:$F996,B5)</f>
        <v/>
      </c>
      <c r="C6" s="85">
        <f>COUNTIF($F10:$F996,C5)</f>
        <v/>
      </c>
      <c r="D6" s="85">
        <f>COUNTIF($F10:$F996,D5)</f>
        <v/>
      </c>
      <c r="E6" s="91">
        <f>COUNTIF($F10:$F996,E5)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COUNTIF($F10:$F996,B5)</f>
        <v/>
      </c>
      <c r="C7" s="85">
        <f>COUNTIF($F10:$F996,C5)</f>
        <v/>
      </c>
      <c r="D7" s="85">
        <f>COUNTIF($F10:$F996,D5)</f>
        <v/>
      </c>
      <c r="E7" s="91">
        <f>COUNTIF($F10:$F996,E5)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COUNTIF($F10:$F996,B5)</f>
        <v/>
      </c>
      <c r="C8" s="89">
        <f>COUNTIF($F10:$F996,C5)</f>
        <v/>
      </c>
      <c r="D8" s="89">
        <f>COUNTIF($F10:$F996,D5)</f>
        <v/>
      </c>
      <c r="E8" s="90">
        <f>COUNTIF($F10:$F996,E5)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 t="n"/>
    </row>
    <row r="11" ht="15.75" customFormat="1" customHeight="1" s="30">
      <c r="A11" s="79" t="inlineStr">
        <is>
          <t>Scenario D</t>
        </is>
      </c>
      <c r="B11" s="79" t="n"/>
      <c r="C11" s="80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1" t="n"/>
      <c r="Q11" s="38" t="n"/>
    </row>
    <row r="12" outlineLevel="1" ht="121.05" customFormat="1" customHeight="1" s="44">
      <c r="A12" s="39" t="inlineStr">
        <is>
          <t>&lt;ID1&gt;</t>
        </is>
      </c>
      <c r="B12" s="40" t="inlineStr">
        <is>
          <t>&lt;Brief description of this case: what is tested?&gt;
Ex: Test viewing "Company" form.</t>
        </is>
      </c>
      <c r="C12" s="40" t="inlineStr">
        <is>
          <t>&lt;Describe steps to perform this case&gt;
Ex:
1. Login the system with Manager role.
2. Click "Company" tab in the left menu.</t>
        </is>
      </c>
      <c r="D12" s="41" t="inlineStr">
        <is>
          <t>&lt;Describe results which meet customer's requirement&gt;
Ex:
The "Company" view form is displayed with the folowing informations:
- Company name
- Company address
- Phone
- Fax</t>
        </is>
      </c>
      <c r="E12" s="41" t="inlineStr">
        <is>
          <t xml:space="preserve">&lt;List all test cases or conditions that must be done before performing this case&gt;
</t>
        </is>
      </c>
      <c r="F12" s="39" t="inlineStr">
        <is>
          <t>Pending</t>
        </is>
      </c>
      <c r="G12" s="39" t="n"/>
      <c r="H12" s="39" t="n"/>
      <c r="I12" s="39" t="inlineStr">
        <is>
          <t>Pending</t>
        </is>
      </c>
      <c r="J12" s="39" t="n"/>
      <c r="K12" s="39" t="n"/>
      <c r="L12" s="39" t="inlineStr">
        <is>
          <t>Pending</t>
        </is>
      </c>
      <c r="M12" s="39" t="n"/>
      <c r="N12" s="39" t="n"/>
      <c r="O12" s="42" t="n"/>
      <c r="Q12" s="43" t="n"/>
    </row>
    <row r="13" outlineLevel="1">
      <c r="A13" s="39" t="inlineStr">
        <is>
          <t>&lt;ID2&gt;</t>
        </is>
      </c>
      <c r="B13" s="39" t="inlineStr">
        <is>
          <t>&lt;Test case 2&gt;</t>
        </is>
      </c>
      <c r="C13" s="39" t="n"/>
      <c r="D13" s="45" t="n"/>
      <c r="E13" s="45" t="n"/>
      <c r="F13" s="39" t="inlineStr">
        <is>
          <t>Pending</t>
        </is>
      </c>
      <c r="G13" s="39" t="n"/>
      <c r="H13" s="39" t="n"/>
      <c r="I13" s="39" t="inlineStr">
        <is>
          <t>Pending</t>
        </is>
      </c>
      <c r="J13" s="39" t="n"/>
      <c r="K13" s="39" t="n"/>
      <c r="L13" s="39" t="inlineStr">
        <is>
          <t>Pending</t>
        </is>
      </c>
      <c r="M13" s="39" t="n"/>
      <c r="N13" s="39" t="n"/>
      <c r="O13" s="42" t="n"/>
      <c r="Q13" s="43" t="n"/>
    </row>
    <row r="14" outlineLevel="1">
      <c r="A14" s="39" t="inlineStr">
        <is>
          <t>&lt;ID3&gt;</t>
        </is>
      </c>
      <c r="B14" s="39" t="inlineStr">
        <is>
          <t>&lt;Test case 3&gt;</t>
        </is>
      </c>
      <c r="C14" s="39" t="n"/>
      <c r="D14" s="45" t="n"/>
      <c r="E14" s="45" t="n"/>
      <c r="F14" s="39" t="inlineStr">
        <is>
          <t>Pending</t>
        </is>
      </c>
      <c r="G14" s="39" t="n"/>
      <c r="H14" s="39" t="n"/>
      <c r="I14" s="39" t="inlineStr">
        <is>
          <t>Pending</t>
        </is>
      </c>
      <c r="J14" s="39" t="n"/>
      <c r="K14" s="39" t="n"/>
      <c r="L14" s="39" t="inlineStr">
        <is>
          <t>Pending</t>
        </is>
      </c>
      <c r="M14" s="39" t="n"/>
      <c r="N14" s="39" t="n"/>
      <c r="O14" s="42" t="n"/>
      <c r="Q14" s="43" t="n"/>
    </row>
    <row r="15" ht="15.75" customFormat="1" customHeight="1" s="30">
      <c r="A15" s="79" t="inlineStr">
        <is>
          <t>Scenario E</t>
        </is>
      </c>
      <c r="B15" s="35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n"/>
      <c r="Q15" s="38" t="n"/>
    </row>
    <row r="16" outlineLevel="1">
      <c r="A16" s="39" t="inlineStr">
        <is>
          <t>&lt;ID4&gt;</t>
        </is>
      </c>
      <c r="B16" s="39" t="inlineStr">
        <is>
          <t>&lt;Test case 4&gt;</t>
        </is>
      </c>
      <c r="C16" s="39" t="n"/>
      <c r="D16" s="39" t="n"/>
      <c r="E16" s="39" t="n"/>
      <c r="F16" s="39" t="inlineStr">
        <is>
          <t>Pending</t>
        </is>
      </c>
      <c r="G16" s="39" t="n"/>
      <c r="H16" s="39" t="n"/>
      <c r="I16" s="39" t="inlineStr">
        <is>
          <t>Pending</t>
        </is>
      </c>
      <c r="J16" s="39" t="n"/>
      <c r="K16" s="39" t="n"/>
      <c r="L16" s="39" t="inlineStr">
        <is>
          <t>Pending</t>
        </is>
      </c>
      <c r="M16" s="39" t="n"/>
      <c r="N16" s="39" t="n"/>
      <c r="O16" s="42" t="n"/>
      <c r="Q16" s="43" t="n"/>
    </row>
    <row r="17" outlineLevel="1">
      <c r="A17" s="39" t="inlineStr">
        <is>
          <t>&lt;ID5&gt;</t>
        </is>
      </c>
      <c r="B17" s="39" t="inlineStr">
        <is>
          <t>&lt;Test case 5&gt;</t>
        </is>
      </c>
      <c r="C17" s="39" t="n"/>
      <c r="D17" s="39" t="n"/>
      <c r="E17" s="39" t="n"/>
      <c r="F17" s="39" t="inlineStr">
        <is>
          <t>Pending</t>
        </is>
      </c>
      <c r="G17" s="46" t="n"/>
      <c r="H17" s="46" t="n"/>
      <c r="I17" s="39" t="inlineStr">
        <is>
          <t>Pending</t>
        </is>
      </c>
      <c r="J17" s="46" t="n"/>
      <c r="K17" s="46" t="n"/>
      <c r="L17" s="39" t="inlineStr">
        <is>
          <t>Pending</t>
        </is>
      </c>
      <c r="M17" s="46" t="n"/>
      <c r="N17" s="46" t="n"/>
      <c r="O17" s="46" t="n"/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Scenario</t>
        </is>
      </c>
      <c r="D1" t="inlineStr">
        <is>
          <t>Expected Result</t>
        </is>
      </c>
    </row>
    <row r="2">
      <c r="A2" t="inlineStr">
        <is>
          <t>TC_CC_01</t>
        </is>
      </c>
      <c r="B2" t="inlineStr">
        <is>
          <t>Tạo hợp đồng</t>
        </is>
      </c>
      <c r="C2" t="inlineStr">
        <is>
          <t>Tạo hợp đồng thành công với đầy đủ thông tin hợp lệ</t>
        </is>
      </c>
      <c r="D2" t="inlineStr">
        <is>
          <t>Hệ thống lưu hợp đồng trạng thái ACTIVE, mã tự sinh đúng định dạng, lưu thông tin người tạo.</t>
        </is>
      </c>
    </row>
    <row r="3">
      <c r="A3" t="inlineStr">
        <is>
          <t>TC_CC_02</t>
        </is>
      </c>
      <c r="B3" t="inlineStr">
        <is>
          <t>Tạo hợp đồng</t>
        </is>
      </c>
      <c r="C3" t="inlineStr">
        <is>
          <t>Tạo hợp đồng nhưng bỏ trống Họ tên khách thuê</t>
        </is>
      </c>
      <c r="D3" t="inlineStr">
        <is>
          <t>Hệ thống từ chối tạo và hiển thị lỗi TENANT_NAME_REQUIRED.</t>
        </is>
      </c>
    </row>
    <row r="4">
      <c r="A4" t="inlineStr">
        <is>
          <t>TC_CC_03</t>
        </is>
      </c>
      <c r="B4" t="inlineStr">
        <is>
          <t>Tạo hợp đồng</t>
        </is>
      </c>
      <c r="C4" t="inlineStr">
        <is>
          <t>Tạo hợp đồng nhưng bỏ trống số CMND/CCCD</t>
        </is>
      </c>
      <c r="D4" t="inlineStr">
        <is>
          <t>Hệ thống từ chối tạo và hiển thị lỗi TENANT_IDENTITY_REQUIRED.</t>
        </is>
      </c>
    </row>
    <row r="5">
      <c r="A5" t="inlineStr">
        <is>
          <t>TC_CC_04</t>
        </is>
      </c>
      <c r="B5" t="inlineStr">
        <is>
          <t>Tạo hợp đồng</t>
        </is>
      </c>
      <c r="C5" t="inlineStr">
        <is>
          <t>Tạo hợp đồng nhưng chưa chọn phòng thuê</t>
        </is>
      </c>
      <c r="D5" t="inlineStr">
        <is>
          <t>Hệ thống từ chối tạo và hiển thị lỗi ROOM_REQUIRED.</t>
        </is>
      </c>
    </row>
    <row r="6">
      <c r="A6" t="inlineStr">
        <is>
          <t>TC_CC_05</t>
        </is>
      </c>
      <c r="B6" t="inlineStr">
        <is>
          <t>Tạo hợp đồng</t>
        </is>
      </c>
      <c r="C6" t="inlineStr">
        <is>
          <t>Tạo hợp đồng nhưng bỏ trống Ngày lập hợp đồng</t>
        </is>
      </c>
      <c r="D6" t="inlineStr">
        <is>
          <t>Hệ thống từ chối tạo và hiển thị lỗi SIGNED_DATE_REQUIRED.</t>
        </is>
      </c>
    </row>
    <row r="7">
      <c r="A7" t="inlineStr">
        <is>
          <t>TC_CC_06</t>
        </is>
      </c>
      <c r="B7" t="inlineStr">
        <is>
          <t>Tạo hợp đồng</t>
        </is>
      </c>
      <c r="C7" t="inlineStr">
        <is>
          <t>Tạo hợp đồng nhưng bỏ trống Ngày hết hạn hợp đồng</t>
        </is>
      </c>
      <c r="D7" t="inlineStr">
        <is>
          <t>Hệ thống từ chối tạo và hiển thị lỗi END_DATE_REQUIRED.</t>
        </is>
      </c>
    </row>
    <row r="8">
      <c r="A8" t="inlineStr">
        <is>
          <t>TC_CC_07</t>
        </is>
      </c>
      <c r="B8" t="inlineStr">
        <is>
          <t>Tạo hợp đồng</t>
        </is>
      </c>
      <c r="C8" t="inlineStr">
        <is>
          <t>Ngày hết hạn hợp đồng nhỏ hơn Ngày lập hợp đồng</t>
        </is>
      </c>
      <c r="D8" t="inlineStr">
        <is>
          <t>Hệ thống từ chối tạo và hiển thị lỗi INVALID_CONTRACT_DATE.</t>
        </is>
      </c>
    </row>
    <row r="9">
      <c r="A9" t="inlineStr">
        <is>
          <t>TC_CC_08</t>
        </is>
      </c>
      <c r="B9" t="inlineStr">
        <is>
          <t>Tạo hợp đồng</t>
        </is>
      </c>
      <c r="C9" t="inlineStr">
        <is>
          <t>Chọn phòng không tồn tại trong hệ thống</t>
        </is>
      </c>
      <c r="D9" t="inlineStr">
        <is>
          <t>Hệ thống hiển thị lỗi ROOM_NOT_FOUND (HTTP 404).</t>
        </is>
      </c>
    </row>
    <row r="10">
      <c r="A10" t="inlineStr">
        <is>
          <t>TC_CC_09</t>
        </is>
      </c>
      <c r="B10" t="inlineStr">
        <is>
          <t>Tạo hợp đồng</t>
        </is>
      </c>
      <c r="C10" t="inlineStr">
        <is>
          <t>Chọn phòng thuộc cơ sở mà Ban quản lý không có quyền quản lý</t>
        </is>
      </c>
      <c r="D10" t="inlineStr">
        <is>
          <t>Hệ thống từ chối và hiển thị lỗi ROOM_ACCESS_DENIED (HTTP 403).</t>
        </is>
      </c>
    </row>
    <row r="11">
      <c r="A11" t="inlineStr">
        <is>
          <t>TC_CC_10</t>
        </is>
      </c>
      <c r="B11" t="inlineStr">
        <is>
          <t>Tạo hợp đồng</t>
        </is>
      </c>
      <c r="C11" t="inlineStr">
        <is>
          <t>Chọn phòng đang có một hợp đồng khác ở trạng thái ACTIVE</t>
        </is>
      </c>
      <c r="D11" t="inlineStr">
        <is>
          <t>Hệ thống từ chối và hiển thị lỗi ROOM_ALREADY_HAS_ACTIVE_CONTRACT (HTTP 400).</t>
        </is>
      </c>
    </row>
    <row r="12">
      <c r="A12" t="inlineStr">
        <is>
          <t>TC_CC_11</t>
        </is>
      </c>
      <c r="B12" t="inlineStr">
        <is>
          <t>Tạo hợp đồng</t>
        </is>
      </c>
      <c r="C12" t="inlineStr">
        <is>
          <t>Không nhập Ngày bắt đầu hợp đồng</t>
        </is>
      </c>
      <c r="D12" t="inlineStr">
        <is>
          <t>Hệ thống tự động lấy Ngày bắt đầu bằng Ngày lập hợp đồng (signed_date).</t>
        </is>
      </c>
    </row>
    <row r="13">
      <c r="A13" t="inlineStr">
        <is>
          <t>TC_CC_12</t>
        </is>
      </c>
      <c r="B13" t="inlineStr">
        <is>
          <t>Tạo hợp đồng</t>
        </is>
      </c>
      <c r="C13" t="inlineStr">
        <is>
          <t>Tạo hợp đồng thành công và kiểm tra thông tin snapshot của phòng</t>
        </is>
      </c>
      <c r="D13" t="inlineStr">
        <is>
          <t>Hệ thống lưu cứng giá phòng, giá cọc tại thời điểm tạo hợp đồng để tránh sai lệch giá sau này.</t>
        </is>
      </c>
    </row>
    <row r="14">
      <c r="A14" t="inlineStr">
        <is>
          <t>TC_CC_13</t>
        </is>
      </c>
      <c r="B14" t="inlineStr">
        <is>
          <t>Tạo hợp đồng</t>
        </is>
      </c>
      <c r="C14" t="inlineStr">
        <is>
          <t>Kiểm tra định dạng mã hợp đồng tự sinh</t>
        </is>
      </c>
      <c r="D14" t="inlineStr">
        <is>
          <t>Mã hợp đồng phải đúng định dạng HD-{roomCode}-{signedDate:yyyyMMdd}-{sequence}.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 Nguyen</dc:creator>
  <dc:title>Test case</dc:title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dc:subject>v1/0</dc:subject>
  <dcterms:created xsi:type="dcterms:W3CDTF">2020-03-17T17:34:29Z</dcterms:created>
  <dcterms:modified xsi:type="dcterms:W3CDTF">2026-07-21T15:40:16Z</dcterms:modified>
  <cp:lastModifiedBy>Kien</cp:lastModifiedBy>
  <cp:category>BM</cp:category>
  <cp:lastPrinted>2010-11-12T10:33:20Z</cp:lastPrinted>
</cp:coreProperties>
</file>