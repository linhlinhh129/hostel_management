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US1 - Tao Hop Dong" sheetId="4" state="visible" r:id="rId4"/>
    <sheet name="US2 - Xem Hop Dong" sheetId="5" state="visible" r:id="rId5"/>
    <sheet name="US4 - Xoa Hop D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3">
    <font>
      <name val="Calibri"/>
      <family val="2"/>
      <color theme="1"/>
      <sz val="11"/>
      <scheme val="minor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ＭＳ Ｐゴシック"/>
      <charset val="128"/>
      <sz val="11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i val="1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2"/>
      <sz val="10"/>
      <u val="single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Tahoma"/>
      <family val="2"/>
      <color indexed="8"/>
      <sz val="10"/>
    </font>
    <font>
      <name val="Tahoma"/>
      <family val="2"/>
      <color indexed="10"/>
      <sz val="10"/>
    </font>
    <font>
      <name val="Tahoma"/>
      <family val="2"/>
      <b val="1"/>
      <i val="1"/>
      <sz val="10"/>
    </font>
    <font>
      <b val="1"/>
      <color rgb="00FFFFFF"/>
      <sz val="10"/>
    </font>
    <font>
      <sz val="10"/>
    </font>
    <font>
      <b val="1"/>
      <color rgb="00375623"/>
      <sz val="10"/>
    </font>
    <font>
      <b val="1"/>
      <color rgb="007F3F00"/>
      <sz val="10"/>
    </font>
  </fonts>
  <fills count="10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rgb="00366092"/>
      </patternFill>
    </fill>
    <fill>
      <patternFill patternType="solid">
        <fgColor rgb="00E2EFDA"/>
      </patternFill>
    </fill>
    <fill>
      <patternFill patternType="solid">
        <fgColor rgb="00F4B942"/>
      </patternFill>
    </fill>
  </fills>
  <borders count="4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00B0B8C9"/>
      </left>
      <right style="thin">
        <color rgb="00B0B8C9"/>
      </right>
      <top style="thin">
        <color rgb="00B0B8C9"/>
      </top>
      <bottom style="thin">
        <color rgb="00B0B8C9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2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6" fillId="2" borderId="0" pivotButton="0" quotePrefix="0" xfId="0"/>
    <xf numFmtId="0" fontId="7" fillId="2" borderId="2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6" fillId="0" borderId="4" pivotButton="0" quotePrefix="0" xfId="0"/>
    <xf numFmtId="0" fontId="8" fillId="0" borderId="4" pivotButton="0" quotePrefix="0" xfId="0"/>
    <xf numFmtId="0" fontId="7" fillId="2" borderId="2" applyAlignment="1" pivotButton="0" quotePrefix="0" xfId="0">
      <alignment vertical="center"/>
    </xf>
    <xf numFmtId="0" fontId="8" fillId="0" borderId="2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indent="1"/>
    </xf>
    <xf numFmtId="0" fontId="7" fillId="0" borderId="0" pivotButton="0" quotePrefix="0" xfId="0"/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indent="1"/>
    </xf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164" fontId="9" fillId="3" borderId="5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8" fillId="0" borderId="8" applyAlignment="1" pivotButton="0" quotePrefix="0" xfId="0">
      <alignment vertical="top" wrapText="1"/>
    </xf>
    <xf numFmtId="49" fontId="6" fillId="0" borderId="9" applyAlignment="1" pivotButton="0" quotePrefix="0" xfId="0">
      <alignment vertical="top"/>
    </xf>
    <xf numFmtId="0" fontId="6" fillId="0" borderId="9" applyAlignment="1" pivotButton="0" quotePrefix="0" xfId="0">
      <alignment vertical="top"/>
    </xf>
    <xf numFmtId="15" fontId="6" fillId="0" borderId="9" applyAlignment="1" pivotButton="0" quotePrefix="0" xfId="0">
      <alignment vertical="top"/>
    </xf>
    <xf numFmtId="0" fontId="8" fillId="0" borderId="10" applyAlignment="1" pivotButton="0" quotePrefix="0" xfId="0">
      <alignment vertical="top" wrapText="1"/>
    </xf>
    <xf numFmtId="164" fontId="6" fillId="0" borderId="8" applyAlignment="1" pivotButton="0" quotePrefix="0" xfId="0">
      <alignment vertical="top"/>
    </xf>
    <xf numFmtId="0" fontId="6" fillId="0" borderId="10" applyAlignment="1" pivotButton="0" quotePrefix="0" xfId="0">
      <alignment vertical="top"/>
    </xf>
    <xf numFmtId="164" fontId="6" fillId="0" borderId="11" applyAlignment="1" pivotButton="0" quotePrefix="0" xfId="0">
      <alignment vertical="top"/>
    </xf>
    <xf numFmtId="49" fontId="6" fillId="0" borderId="12" applyAlignment="1" pivotButton="0" quotePrefix="0" xfId="0">
      <alignment vertical="top"/>
    </xf>
    <xf numFmtId="0" fontId="6" fillId="0" borderId="12" applyAlignment="1" pivotButton="0" quotePrefix="0" xfId="0">
      <alignment vertical="top"/>
    </xf>
    <xf numFmtId="0" fontId="6" fillId="0" borderId="13" applyAlignment="1" pivotButton="0" quotePrefix="0" xfId="0">
      <alignment vertical="top"/>
    </xf>
    <xf numFmtId="1" fontId="6" fillId="2" borderId="0" pivotButton="0" quotePrefix="0" xfId="0"/>
    <xf numFmtId="0" fontId="2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1" fontId="4" fillId="2" borderId="1" pivotButton="0" quotePrefix="0" xfId="0"/>
    <xf numFmtId="0" fontId="5" fillId="2" borderId="2" applyAlignment="1" pivotButton="0" quotePrefix="0" xfId="0">
      <alignment horizontal="left"/>
    </xf>
    <xf numFmtId="1" fontId="4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vertical="top" wrapText="1"/>
    </xf>
    <xf numFmtId="1" fontId="4" fillId="2" borderId="0" pivotButton="0" quotePrefix="0" xfId="0"/>
    <xf numFmtId="1" fontId="6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1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14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1" fontId="6" fillId="2" borderId="8" applyAlignment="1" pivotButton="0" quotePrefix="0" xfId="0">
      <alignment vertical="center"/>
    </xf>
    <xf numFmtId="49" fontId="6" fillId="2" borderId="9" applyAlignment="1" pivotButton="0" quotePrefix="0" xfId="0">
      <alignment horizontal="left" vertical="center"/>
    </xf>
    <xf numFmtId="0" fontId="12" fillId="2" borderId="9" applyAlignment="1" pivotButton="0" quotePrefix="0" xfId="0">
      <alignment horizontal="left" vertical="center"/>
    </xf>
    <xf numFmtId="0" fontId="13" fillId="2" borderId="9" applyAlignment="1" pivotButton="0" quotePrefix="0" xfId="0">
      <alignment horizontal="left" vertical="center"/>
    </xf>
    <xf numFmtId="0" fontId="6" fillId="2" borderId="10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1" fontId="6" fillId="2" borderId="11" applyAlignment="1" pivotButton="0" quotePrefix="0" xfId="0">
      <alignment vertical="center"/>
    </xf>
    <xf numFmtId="49" fontId="6" fillId="2" borderId="12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6" fillId="2" borderId="13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7" fillId="2" borderId="0" pivotButton="0" quotePrefix="0" xfId="0"/>
    <xf numFmtId="164" fontId="6" fillId="2" borderId="0" pivotButton="0" quotePrefix="0" xfId="0"/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left"/>
    </xf>
    <xf numFmtId="0" fontId="4" fillId="2" borderId="4" applyAlignment="1" pivotButton="0" quotePrefix="0" xfId="0">
      <alignment horizontal="left"/>
    </xf>
    <xf numFmtId="0" fontId="6" fillId="2" borderId="4" applyAlignment="1" pivotButton="0" quotePrefix="0" xfId="0">
      <alignment vertical="top"/>
    </xf>
    <xf numFmtId="0" fontId="4" fillId="2" borderId="2" applyAlignment="1" pivotButton="0" quotePrefix="0" xfId="0">
      <alignment vertical="center"/>
    </xf>
    <xf numFmtId="0" fontId="5" fillId="2" borderId="4" applyAlignment="1" pivotButton="0" quotePrefix="0" xfId="0">
      <alignment vertical="top"/>
    </xf>
    <xf numFmtId="0" fontId="5" fillId="2" borderId="2" applyAlignment="1" pivotButton="0" quotePrefix="0" xfId="0">
      <alignment vertical="top"/>
    </xf>
    <xf numFmtId="0" fontId="4" fillId="2" borderId="0" pivotButton="0" quotePrefix="0" xfId="0"/>
    <xf numFmtId="0" fontId="5" fillId="2" borderId="0" pivotButton="0" quotePrefix="0" xfId="0"/>
    <xf numFmtId="0" fontId="6" fillId="2" borderId="15" pivotButton="0" quotePrefix="0" xfId="0"/>
    <xf numFmtId="0" fontId="9" fillId="3" borderId="16" applyAlignment="1" pivotButton="0" quotePrefix="0" xfId="0">
      <alignment horizontal="center"/>
    </xf>
    <xf numFmtId="0" fontId="9" fillId="3" borderId="6" applyAlignment="1" pivotButton="0" quotePrefix="0" xfId="0">
      <alignment horizontal="center"/>
    </xf>
    <xf numFmtId="0" fontId="9" fillId="3" borderId="6" applyAlignment="1" pivotButton="0" quotePrefix="0" xfId="0">
      <alignment horizontal="center" wrapText="1"/>
    </xf>
    <xf numFmtId="0" fontId="9" fillId="3" borderId="14" applyAlignment="1" pivotButton="0" quotePrefix="0" xfId="0">
      <alignment horizontal="center"/>
    </xf>
    <xf numFmtId="0" fontId="9" fillId="3" borderId="17" applyAlignment="1" pivotButton="0" quotePrefix="0" xfId="0">
      <alignment horizontal="center" wrapText="1"/>
    </xf>
    <xf numFmtId="0" fontId="6" fillId="2" borderId="18" applyAlignment="1" pivotButton="0" quotePrefix="0" xfId="0">
      <alignment horizontal="center"/>
    </xf>
    <xf numFmtId="0" fontId="6" fillId="2" borderId="9" pivotButton="0" quotePrefix="0" xfId="0"/>
    <xf numFmtId="0" fontId="6" fillId="2" borderId="9" applyAlignment="1" pivotButton="0" quotePrefix="0" xfId="0">
      <alignment horizontal="center"/>
    </xf>
    <xf numFmtId="0" fontId="6" fillId="2" borderId="19" applyAlignment="1" pivotButton="0" quotePrefix="0" xfId="0">
      <alignment horizontal="center"/>
    </xf>
    <xf numFmtId="0" fontId="6" fillId="2" borderId="20" applyAlignment="1" pivotButton="0" quotePrefix="0" xfId="0">
      <alignment horizontal="center"/>
    </xf>
    <xf numFmtId="0" fontId="14" fillId="3" borderId="21" applyAlignment="1" pivotButton="0" quotePrefix="0" xfId="0">
      <alignment horizontal="center"/>
    </xf>
    <xf numFmtId="0" fontId="9" fillId="3" borderId="12" pivotButton="0" quotePrefix="0" xfId="0"/>
    <xf numFmtId="0" fontId="14" fillId="3" borderId="12" applyAlignment="1" pivotButton="0" quotePrefix="0" xfId="0">
      <alignment horizontal="center"/>
    </xf>
    <xf numFmtId="0" fontId="14" fillId="3" borderId="22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0" fontId="6" fillId="2" borderId="0" applyAlignment="1" pivotButton="0" quotePrefix="0" xfId="0">
      <alignment horizontal="center"/>
    </xf>
    <xf numFmtId="9" fontId="6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2" fontId="15" fillId="2" borderId="0" applyAlignment="1" pivotButton="0" quotePrefix="0" xfId="0">
      <alignment horizontal="right" wrapText="1"/>
    </xf>
    <xf numFmtId="0" fontId="16" fillId="2" borderId="0" applyAlignment="1" pivotButton="0" quotePrefix="0" xfId="0">
      <alignment horizontal="center" wrapText="1"/>
    </xf>
    <xf numFmtId="0" fontId="7" fillId="2" borderId="23" applyAlignment="1" pivotButton="0" quotePrefix="0" xfId="0">
      <alignment horizontal="center" vertical="top" wrapText="1"/>
    </xf>
    <xf numFmtId="0" fontId="6" fillId="2" borderId="24" applyAlignment="1" pivotButton="0" quotePrefix="0" xfId="0">
      <alignment horizontal="left" vertical="top" wrapText="1"/>
    </xf>
    <xf numFmtId="0" fontId="3" fillId="0" borderId="25" pivotButton="0" quotePrefix="0" xfId="0"/>
    <xf numFmtId="0" fontId="3" fillId="0" borderId="26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6" fillId="2" borderId="0" applyAlignment="1" pivotButton="0" quotePrefix="0" xfId="0">
      <alignment wrapText="1"/>
    </xf>
    <xf numFmtId="0" fontId="17" fillId="2" borderId="0" applyAlignment="1" pivotButton="0" quotePrefix="0" xfId="0">
      <alignment wrapText="1"/>
    </xf>
    <xf numFmtId="0" fontId="16" fillId="2" borderId="0" pivotButton="0" quotePrefix="0" xfId="0"/>
    <xf numFmtId="0" fontId="7" fillId="2" borderId="27" applyAlignment="1" pivotButton="0" quotePrefix="0" xfId="0">
      <alignment horizontal="center" vertical="top" wrapText="1"/>
    </xf>
    <xf numFmtId="0" fontId="6" fillId="2" borderId="28" applyAlignment="1" pivotButton="0" quotePrefix="0" xfId="0">
      <alignment horizontal="left" vertical="top" wrapText="1"/>
    </xf>
    <xf numFmtId="0" fontId="3" fillId="0" borderId="29" pivotButton="0" quotePrefix="0" xfId="0"/>
    <xf numFmtId="0" fontId="3" fillId="0" borderId="30" pivotButton="0" quotePrefix="0" xfId="0"/>
    <xf numFmtId="0" fontId="18" fillId="2" borderId="27" applyAlignment="1" pivotButton="0" quotePrefix="0" xfId="0">
      <alignment horizontal="center" vertical="top" wrapText="1"/>
    </xf>
    <xf numFmtId="0" fontId="18" fillId="2" borderId="28" applyAlignment="1" pivotButton="0" quotePrefix="0" xfId="0">
      <alignment horizontal="center" vertical="top" wrapText="1"/>
    </xf>
    <xf numFmtId="0" fontId="18" fillId="2" borderId="31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 wrapText="1"/>
    </xf>
    <xf numFmtId="0" fontId="6" fillId="2" borderId="28" applyAlignment="1" pivotButton="0" quotePrefix="0" xfId="0">
      <alignment horizontal="center" vertical="top" wrapText="1"/>
    </xf>
    <xf numFmtId="0" fontId="6" fillId="2" borderId="31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center" wrapText="1"/>
    </xf>
    <xf numFmtId="0" fontId="18" fillId="2" borderId="32" applyAlignment="1" pivotButton="0" quotePrefix="0" xfId="0">
      <alignment horizontal="center" vertical="top" wrapText="1"/>
    </xf>
    <xf numFmtId="0" fontId="6" fillId="2" borderId="33" applyAlignment="1" pivotButton="0" quotePrefix="0" xfId="0">
      <alignment horizontal="center" vertical="top" wrapText="1"/>
    </xf>
    <xf numFmtId="0" fontId="6" fillId="2" borderId="34" applyAlignment="1" pivotButton="0" quotePrefix="0" xfId="0">
      <alignment horizontal="center" vertical="top" wrapText="1"/>
    </xf>
    <xf numFmtId="0" fontId="9" fillId="5" borderId="28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9" fillId="7" borderId="40" applyAlignment="1" pivotButton="0" quotePrefix="0" xfId="0">
      <alignment vertical="center"/>
    </xf>
    <xf numFmtId="0" fontId="0" fillId="0" borderId="36" pivotButton="0" quotePrefix="0" xfId="0"/>
    <xf numFmtId="0" fontId="0" fillId="0" borderId="37" pivotButton="0" quotePrefix="0" xfId="0"/>
    <xf numFmtId="0" fontId="11" fillId="2" borderId="0" applyAlignment="1" pivotButton="0" quotePrefix="0" xfId="0">
      <alignment horizontal="left" vertical="center"/>
    </xf>
    <xf numFmtId="0" fontId="20" fillId="8" borderId="40" applyAlignment="1" pivotButton="0" quotePrefix="0" xfId="0">
      <alignment vertical="top" wrapText="1"/>
    </xf>
    <xf numFmtId="0" fontId="21" fillId="8" borderId="40" applyAlignment="1" pivotButton="0" quotePrefix="0" xfId="0">
      <alignment vertical="top" wrapText="1"/>
    </xf>
    <xf numFmtId="0" fontId="17" fillId="2" borderId="0" applyAlignment="1" pivotButton="0" quotePrefix="0" xfId="0">
      <alignment vertical="top" wrapText="1"/>
    </xf>
    <xf numFmtId="0" fontId="20" fillId="9" borderId="40" applyAlignment="1" pivotButton="0" quotePrefix="0" xfId="0">
      <alignment vertical="top" wrapText="1"/>
    </xf>
    <xf numFmtId="0" fontId="22" fillId="9" borderId="4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2" borderId="2" applyAlignment="1" pivotButton="0" quotePrefix="0" xfId="0">
      <alignment vertical="top" wrapText="1"/>
    </xf>
    <xf numFmtId="0" fontId="6" fillId="2" borderId="2" pivotButton="0" quotePrefix="0" xfId="0"/>
    <xf numFmtId="0" fontId="7" fillId="6" borderId="35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/>
    </xf>
    <xf numFmtId="0" fontId="7" fillId="6" borderId="4" applyAlignment="1" pivotButton="0" quotePrefix="0" xfId="0">
      <alignment horizontal="left" vertical="center"/>
    </xf>
    <xf numFmtId="0" fontId="16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.1328125" customWidth="1" min="1" max="1"/>
    <col width="10" customWidth="1" min="2" max="2"/>
    <col width="14.33203125" customWidth="1" min="3" max="3"/>
    <col width="8" customWidth="1" min="4" max="4"/>
    <col width="38" customWidth="1" min="5" max="5"/>
    <col width="48.1328125" customWidth="1" min="6" max="6"/>
    <col width="9" customWidth="1" min="7" max="7"/>
    <col width="28.1328125" customWidth="1" min="257" max="257"/>
    <col width="10" customWidth="1" min="258" max="258"/>
    <col width="14.33203125" customWidth="1" min="259" max="259"/>
    <col width="8" customWidth="1" min="260" max="260"/>
    <col width="38" customWidth="1" min="261" max="261"/>
    <col width="48.1328125" customWidth="1" min="262" max="262"/>
    <col width="9" customWidth="1" min="263" max="263"/>
    <col width="28.1328125" customWidth="1" min="513" max="513"/>
    <col width="10" customWidth="1" min="514" max="514"/>
    <col width="14.33203125" customWidth="1" min="515" max="515"/>
    <col width="8" customWidth="1" min="516" max="516"/>
    <col width="38" customWidth="1" min="517" max="517"/>
    <col width="48.1328125" customWidth="1" min="518" max="518"/>
    <col width="9" customWidth="1" min="519" max="519"/>
    <col width="28.1328125" customWidth="1" min="769" max="769"/>
    <col width="10" customWidth="1" min="770" max="770"/>
    <col width="14.33203125" customWidth="1" min="771" max="771"/>
    <col width="8" customWidth="1" min="772" max="772"/>
    <col width="38" customWidth="1" min="773" max="773"/>
    <col width="48.1328125" customWidth="1" min="774" max="774"/>
    <col width="9" customWidth="1" min="775" max="775"/>
    <col width="28.1328125" customWidth="1" min="1025" max="1025"/>
    <col width="10" customWidth="1" min="1026" max="1026"/>
    <col width="14.33203125" customWidth="1" min="1027" max="1027"/>
    <col width="8" customWidth="1" min="1028" max="1028"/>
    <col width="38" customWidth="1" min="1029" max="1029"/>
    <col width="48.1328125" customWidth="1" min="1030" max="1030"/>
    <col width="9" customWidth="1" min="1031" max="1031"/>
    <col width="28.1328125" customWidth="1" min="1281" max="1281"/>
    <col width="10" customWidth="1" min="1282" max="1282"/>
    <col width="14.33203125" customWidth="1" min="1283" max="1283"/>
    <col width="8" customWidth="1" min="1284" max="1284"/>
    <col width="38" customWidth="1" min="1285" max="1285"/>
    <col width="48.1328125" customWidth="1" min="1286" max="1286"/>
    <col width="9" customWidth="1" min="1287" max="1287"/>
    <col width="28.1328125" customWidth="1" min="1537" max="1537"/>
    <col width="10" customWidth="1" min="1538" max="1538"/>
    <col width="14.33203125" customWidth="1" min="1539" max="1539"/>
    <col width="8" customWidth="1" min="1540" max="1540"/>
    <col width="38" customWidth="1" min="1541" max="1541"/>
    <col width="48.1328125" customWidth="1" min="1542" max="1542"/>
    <col width="9" customWidth="1" min="1543" max="1543"/>
    <col width="28.1328125" customWidth="1" min="1793" max="1793"/>
    <col width="10" customWidth="1" min="1794" max="1794"/>
    <col width="14.33203125" customWidth="1" min="1795" max="1795"/>
    <col width="8" customWidth="1" min="1796" max="1796"/>
    <col width="38" customWidth="1" min="1797" max="1797"/>
    <col width="48.1328125" customWidth="1" min="1798" max="1798"/>
    <col width="9" customWidth="1" min="1799" max="1799"/>
    <col width="28.1328125" customWidth="1" min="2049" max="2049"/>
    <col width="10" customWidth="1" min="2050" max="2050"/>
    <col width="14.33203125" customWidth="1" min="2051" max="2051"/>
    <col width="8" customWidth="1" min="2052" max="2052"/>
    <col width="38" customWidth="1" min="2053" max="2053"/>
    <col width="48.1328125" customWidth="1" min="2054" max="2054"/>
    <col width="9" customWidth="1" min="2055" max="2055"/>
    <col width="28.1328125" customWidth="1" min="2305" max="2305"/>
    <col width="10" customWidth="1" min="2306" max="2306"/>
    <col width="14.33203125" customWidth="1" min="2307" max="2307"/>
    <col width="8" customWidth="1" min="2308" max="2308"/>
    <col width="38" customWidth="1" min="2309" max="2309"/>
    <col width="48.1328125" customWidth="1" min="2310" max="2310"/>
    <col width="9" customWidth="1" min="2311" max="2311"/>
    <col width="28.1328125" customWidth="1" min="2561" max="2561"/>
    <col width="10" customWidth="1" min="2562" max="2562"/>
    <col width="14.33203125" customWidth="1" min="2563" max="2563"/>
    <col width="8" customWidth="1" min="2564" max="2564"/>
    <col width="38" customWidth="1" min="2565" max="2565"/>
    <col width="48.1328125" customWidth="1" min="2566" max="2566"/>
    <col width="9" customWidth="1" min="2567" max="2567"/>
    <col width="28.1328125" customWidth="1" min="2817" max="2817"/>
    <col width="10" customWidth="1" min="2818" max="2818"/>
    <col width="14.33203125" customWidth="1" min="2819" max="2819"/>
    <col width="8" customWidth="1" min="2820" max="2820"/>
    <col width="38" customWidth="1" min="2821" max="2821"/>
    <col width="48.1328125" customWidth="1" min="2822" max="2822"/>
    <col width="9" customWidth="1" min="2823" max="2823"/>
    <col width="28.1328125" customWidth="1" min="3073" max="3073"/>
    <col width="10" customWidth="1" min="3074" max="3074"/>
    <col width="14.33203125" customWidth="1" min="3075" max="3075"/>
    <col width="8" customWidth="1" min="3076" max="3076"/>
    <col width="38" customWidth="1" min="3077" max="3077"/>
    <col width="48.1328125" customWidth="1" min="3078" max="3078"/>
    <col width="9" customWidth="1" min="3079" max="3079"/>
    <col width="28.1328125" customWidth="1" min="3329" max="3329"/>
    <col width="10" customWidth="1" min="3330" max="3330"/>
    <col width="14.33203125" customWidth="1" min="3331" max="3331"/>
    <col width="8" customWidth="1" min="3332" max="3332"/>
    <col width="38" customWidth="1" min="3333" max="3333"/>
    <col width="48.1328125" customWidth="1" min="3334" max="3334"/>
    <col width="9" customWidth="1" min="3335" max="3335"/>
    <col width="28.1328125" customWidth="1" min="3585" max="3585"/>
    <col width="10" customWidth="1" min="3586" max="3586"/>
    <col width="14.33203125" customWidth="1" min="3587" max="3587"/>
    <col width="8" customWidth="1" min="3588" max="3588"/>
    <col width="38" customWidth="1" min="3589" max="3589"/>
    <col width="48.1328125" customWidth="1" min="3590" max="3590"/>
    <col width="9" customWidth="1" min="3591" max="3591"/>
    <col width="28.1328125" customWidth="1" min="3841" max="3841"/>
    <col width="10" customWidth="1" min="3842" max="3842"/>
    <col width="14.33203125" customWidth="1" min="3843" max="3843"/>
    <col width="8" customWidth="1" min="3844" max="3844"/>
    <col width="38" customWidth="1" min="3845" max="3845"/>
    <col width="48.1328125" customWidth="1" min="3846" max="3846"/>
    <col width="9" customWidth="1" min="3847" max="3847"/>
    <col width="28.1328125" customWidth="1" min="4097" max="4097"/>
    <col width="10" customWidth="1" min="4098" max="4098"/>
    <col width="14.33203125" customWidth="1" min="4099" max="4099"/>
    <col width="8" customWidth="1" min="4100" max="4100"/>
    <col width="38" customWidth="1" min="4101" max="4101"/>
    <col width="48.1328125" customWidth="1" min="4102" max="4102"/>
    <col width="9" customWidth="1" min="4103" max="4103"/>
    <col width="28.1328125" customWidth="1" min="4353" max="4353"/>
    <col width="10" customWidth="1" min="4354" max="4354"/>
    <col width="14.33203125" customWidth="1" min="4355" max="4355"/>
    <col width="8" customWidth="1" min="4356" max="4356"/>
    <col width="38" customWidth="1" min="4357" max="4357"/>
    <col width="48.1328125" customWidth="1" min="4358" max="4358"/>
    <col width="9" customWidth="1" min="4359" max="4359"/>
    <col width="28.1328125" customWidth="1" min="4609" max="4609"/>
    <col width="10" customWidth="1" min="4610" max="4610"/>
    <col width="14.33203125" customWidth="1" min="4611" max="4611"/>
    <col width="8" customWidth="1" min="4612" max="4612"/>
    <col width="38" customWidth="1" min="4613" max="4613"/>
    <col width="48.1328125" customWidth="1" min="4614" max="4614"/>
    <col width="9" customWidth="1" min="4615" max="4615"/>
    <col width="28.1328125" customWidth="1" min="4865" max="4865"/>
    <col width="10" customWidth="1" min="4866" max="4866"/>
    <col width="14.33203125" customWidth="1" min="4867" max="4867"/>
    <col width="8" customWidth="1" min="4868" max="4868"/>
    <col width="38" customWidth="1" min="4869" max="4869"/>
    <col width="48.1328125" customWidth="1" min="4870" max="4870"/>
    <col width="9" customWidth="1" min="4871" max="4871"/>
    <col width="28.1328125" customWidth="1" min="5121" max="5121"/>
    <col width="10" customWidth="1" min="5122" max="5122"/>
    <col width="14.33203125" customWidth="1" min="5123" max="5123"/>
    <col width="8" customWidth="1" min="5124" max="5124"/>
    <col width="38" customWidth="1" min="5125" max="5125"/>
    <col width="48.1328125" customWidth="1" min="5126" max="5126"/>
    <col width="9" customWidth="1" min="5127" max="5127"/>
    <col width="28.1328125" customWidth="1" min="5377" max="5377"/>
    <col width="10" customWidth="1" min="5378" max="5378"/>
    <col width="14.33203125" customWidth="1" min="5379" max="5379"/>
    <col width="8" customWidth="1" min="5380" max="5380"/>
    <col width="38" customWidth="1" min="5381" max="5381"/>
    <col width="48.1328125" customWidth="1" min="5382" max="5382"/>
    <col width="9" customWidth="1" min="5383" max="5383"/>
    <col width="28.1328125" customWidth="1" min="5633" max="5633"/>
    <col width="10" customWidth="1" min="5634" max="5634"/>
    <col width="14.33203125" customWidth="1" min="5635" max="5635"/>
    <col width="8" customWidth="1" min="5636" max="5636"/>
    <col width="38" customWidth="1" min="5637" max="5637"/>
    <col width="48.1328125" customWidth="1" min="5638" max="5638"/>
    <col width="9" customWidth="1" min="5639" max="5639"/>
    <col width="28.1328125" customWidth="1" min="5889" max="5889"/>
    <col width="10" customWidth="1" min="5890" max="5890"/>
    <col width="14.33203125" customWidth="1" min="5891" max="5891"/>
    <col width="8" customWidth="1" min="5892" max="5892"/>
    <col width="38" customWidth="1" min="5893" max="5893"/>
    <col width="48.1328125" customWidth="1" min="5894" max="5894"/>
    <col width="9" customWidth="1" min="5895" max="5895"/>
    <col width="28.1328125" customWidth="1" min="6145" max="6145"/>
    <col width="10" customWidth="1" min="6146" max="6146"/>
    <col width="14.33203125" customWidth="1" min="6147" max="6147"/>
    <col width="8" customWidth="1" min="6148" max="6148"/>
    <col width="38" customWidth="1" min="6149" max="6149"/>
    <col width="48.1328125" customWidth="1" min="6150" max="6150"/>
    <col width="9" customWidth="1" min="6151" max="6151"/>
    <col width="28.1328125" customWidth="1" min="6401" max="6401"/>
    <col width="10" customWidth="1" min="6402" max="6402"/>
    <col width="14.33203125" customWidth="1" min="6403" max="6403"/>
    <col width="8" customWidth="1" min="6404" max="6404"/>
    <col width="38" customWidth="1" min="6405" max="6405"/>
    <col width="48.1328125" customWidth="1" min="6406" max="6406"/>
    <col width="9" customWidth="1" min="6407" max="6407"/>
    <col width="28.1328125" customWidth="1" min="6657" max="6657"/>
    <col width="10" customWidth="1" min="6658" max="6658"/>
    <col width="14.33203125" customWidth="1" min="6659" max="6659"/>
    <col width="8" customWidth="1" min="6660" max="6660"/>
    <col width="38" customWidth="1" min="6661" max="6661"/>
    <col width="48.1328125" customWidth="1" min="6662" max="6662"/>
    <col width="9" customWidth="1" min="6663" max="6663"/>
    <col width="28.1328125" customWidth="1" min="6913" max="6913"/>
    <col width="10" customWidth="1" min="6914" max="6914"/>
    <col width="14.33203125" customWidth="1" min="6915" max="6915"/>
    <col width="8" customWidth="1" min="6916" max="6916"/>
    <col width="38" customWidth="1" min="6917" max="6917"/>
    <col width="48.1328125" customWidth="1" min="6918" max="6918"/>
    <col width="9" customWidth="1" min="6919" max="6919"/>
    <col width="28.1328125" customWidth="1" min="7169" max="7169"/>
    <col width="10" customWidth="1" min="7170" max="7170"/>
    <col width="14.33203125" customWidth="1" min="7171" max="7171"/>
    <col width="8" customWidth="1" min="7172" max="7172"/>
    <col width="38" customWidth="1" min="7173" max="7173"/>
    <col width="48.1328125" customWidth="1" min="7174" max="7174"/>
    <col width="9" customWidth="1" min="7175" max="7175"/>
    <col width="28.1328125" customWidth="1" min="7425" max="7425"/>
    <col width="10" customWidth="1" min="7426" max="7426"/>
    <col width="14.33203125" customWidth="1" min="7427" max="7427"/>
    <col width="8" customWidth="1" min="7428" max="7428"/>
    <col width="38" customWidth="1" min="7429" max="7429"/>
    <col width="48.1328125" customWidth="1" min="7430" max="7430"/>
    <col width="9" customWidth="1" min="7431" max="7431"/>
    <col width="28.1328125" customWidth="1" min="7681" max="7681"/>
    <col width="10" customWidth="1" min="7682" max="7682"/>
    <col width="14.33203125" customWidth="1" min="7683" max="7683"/>
    <col width="8" customWidth="1" min="7684" max="7684"/>
    <col width="38" customWidth="1" min="7685" max="7685"/>
    <col width="48.1328125" customWidth="1" min="7686" max="7686"/>
    <col width="9" customWidth="1" min="7687" max="7687"/>
    <col width="28.1328125" customWidth="1" min="7937" max="7937"/>
    <col width="10" customWidth="1" min="7938" max="7938"/>
    <col width="14.33203125" customWidth="1" min="7939" max="7939"/>
    <col width="8" customWidth="1" min="7940" max="7940"/>
    <col width="38" customWidth="1" min="7941" max="7941"/>
    <col width="48.1328125" customWidth="1" min="7942" max="7942"/>
    <col width="9" customWidth="1" min="7943" max="7943"/>
    <col width="28.1328125" customWidth="1" min="8193" max="8193"/>
    <col width="10" customWidth="1" min="8194" max="8194"/>
    <col width="14.33203125" customWidth="1" min="8195" max="8195"/>
    <col width="8" customWidth="1" min="8196" max="8196"/>
    <col width="38" customWidth="1" min="8197" max="8197"/>
    <col width="48.1328125" customWidth="1" min="8198" max="8198"/>
    <col width="9" customWidth="1" min="8199" max="8199"/>
    <col width="28.1328125" customWidth="1" min="8449" max="8449"/>
    <col width="10" customWidth="1" min="8450" max="8450"/>
    <col width="14.33203125" customWidth="1" min="8451" max="8451"/>
    <col width="8" customWidth="1" min="8452" max="8452"/>
    <col width="38" customWidth="1" min="8453" max="8453"/>
    <col width="48.1328125" customWidth="1" min="8454" max="8454"/>
    <col width="9" customWidth="1" min="8455" max="8455"/>
    <col width="28.1328125" customWidth="1" min="8705" max="8705"/>
    <col width="10" customWidth="1" min="8706" max="8706"/>
    <col width="14.33203125" customWidth="1" min="8707" max="8707"/>
    <col width="8" customWidth="1" min="8708" max="8708"/>
    <col width="38" customWidth="1" min="8709" max="8709"/>
    <col width="48.1328125" customWidth="1" min="8710" max="8710"/>
    <col width="9" customWidth="1" min="8711" max="8711"/>
    <col width="28.1328125" customWidth="1" min="8961" max="8961"/>
    <col width="10" customWidth="1" min="8962" max="8962"/>
    <col width="14.33203125" customWidth="1" min="8963" max="8963"/>
    <col width="8" customWidth="1" min="8964" max="8964"/>
    <col width="38" customWidth="1" min="8965" max="8965"/>
    <col width="48.1328125" customWidth="1" min="8966" max="8966"/>
    <col width="9" customWidth="1" min="8967" max="8967"/>
    <col width="28.1328125" customWidth="1" min="9217" max="9217"/>
    <col width="10" customWidth="1" min="9218" max="9218"/>
    <col width="14.33203125" customWidth="1" min="9219" max="9219"/>
    <col width="8" customWidth="1" min="9220" max="9220"/>
    <col width="38" customWidth="1" min="9221" max="9221"/>
    <col width="48.1328125" customWidth="1" min="9222" max="9222"/>
    <col width="9" customWidth="1" min="9223" max="9223"/>
    <col width="28.1328125" customWidth="1" min="9473" max="9473"/>
    <col width="10" customWidth="1" min="9474" max="9474"/>
    <col width="14.33203125" customWidth="1" min="9475" max="9475"/>
    <col width="8" customWidth="1" min="9476" max="9476"/>
    <col width="38" customWidth="1" min="9477" max="9477"/>
    <col width="48.1328125" customWidth="1" min="9478" max="9478"/>
    <col width="9" customWidth="1" min="9479" max="9479"/>
    <col width="28.1328125" customWidth="1" min="9729" max="9729"/>
    <col width="10" customWidth="1" min="9730" max="9730"/>
    <col width="14.33203125" customWidth="1" min="9731" max="9731"/>
    <col width="8" customWidth="1" min="9732" max="9732"/>
    <col width="38" customWidth="1" min="9733" max="9733"/>
    <col width="48.1328125" customWidth="1" min="9734" max="9734"/>
    <col width="9" customWidth="1" min="9735" max="9735"/>
    <col width="28.1328125" customWidth="1" min="9985" max="9985"/>
    <col width="10" customWidth="1" min="9986" max="9986"/>
    <col width="14.33203125" customWidth="1" min="9987" max="9987"/>
    <col width="8" customWidth="1" min="9988" max="9988"/>
    <col width="38" customWidth="1" min="9989" max="9989"/>
    <col width="48.1328125" customWidth="1" min="9990" max="9990"/>
    <col width="9" customWidth="1" min="9991" max="9991"/>
    <col width="28.1328125" customWidth="1" min="10241" max="10241"/>
    <col width="10" customWidth="1" min="10242" max="10242"/>
    <col width="14.33203125" customWidth="1" min="10243" max="10243"/>
    <col width="8" customWidth="1" min="10244" max="10244"/>
    <col width="38" customWidth="1" min="10245" max="10245"/>
    <col width="48.1328125" customWidth="1" min="10246" max="10246"/>
    <col width="9" customWidth="1" min="10247" max="10247"/>
    <col width="28.1328125" customWidth="1" min="10497" max="10497"/>
    <col width="10" customWidth="1" min="10498" max="10498"/>
    <col width="14.33203125" customWidth="1" min="10499" max="10499"/>
    <col width="8" customWidth="1" min="10500" max="10500"/>
    <col width="38" customWidth="1" min="10501" max="10501"/>
    <col width="48.1328125" customWidth="1" min="10502" max="10502"/>
    <col width="9" customWidth="1" min="10503" max="10503"/>
    <col width="28.1328125" customWidth="1" min="10753" max="10753"/>
    <col width="10" customWidth="1" min="10754" max="10754"/>
    <col width="14.33203125" customWidth="1" min="10755" max="10755"/>
    <col width="8" customWidth="1" min="10756" max="10756"/>
    <col width="38" customWidth="1" min="10757" max="10757"/>
    <col width="48.1328125" customWidth="1" min="10758" max="10758"/>
    <col width="9" customWidth="1" min="10759" max="10759"/>
    <col width="28.1328125" customWidth="1" min="11009" max="11009"/>
    <col width="10" customWidth="1" min="11010" max="11010"/>
    <col width="14.33203125" customWidth="1" min="11011" max="11011"/>
    <col width="8" customWidth="1" min="11012" max="11012"/>
    <col width="38" customWidth="1" min="11013" max="11013"/>
    <col width="48.1328125" customWidth="1" min="11014" max="11014"/>
    <col width="9" customWidth="1" min="11015" max="11015"/>
    <col width="28.1328125" customWidth="1" min="11265" max="11265"/>
    <col width="10" customWidth="1" min="11266" max="11266"/>
    <col width="14.33203125" customWidth="1" min="11267" max="11267"/>
    <col width="8" customWidth="1" min="11268" max="11268"/>
    <col width="38" customWidth="1" min="11269" max="11269"/>
    <col width="48.1328125" customWidth="1" min="11270" max="11270"/>
    <col width="9" customWidth="1" min="11271" max="11271"/>
    <col width="28.1328125" customWidth="1" min="11521" max="11521"/>
    <col width="10" customWidth="1" min="11522" max="11522"/>
    <col width="14.33203125" customWidth="1" min="11523" max="11523"/>
    <col width="8" customWidth="1" min="11524" max="11524"/>
    <col width="38" customWidth="1" min="11525" max="11525"/>
    <col width="48.1328125" customWidth="1" min="11526" max="11526"/>
    <col width="9" customWidth="1" min="11527" max="11527"/>
    <col width="28.1328125" customWidth="1" min="11777" max="11777"/>
    <col width="10" customWidth="1" min="11778" max="11778"/>
    <col width="14.33203125" customWidth="1" min="11779" max="11779"/>
    <col width="8" customWidth="1" min="11780" max="11780"/>
    <col width="38" customWidth="1" min="11781" max="11781"/>
    <col width="48.1328125" customWidth="1" min="11782" max="11782"/>
    <col width="9" customWidth="1" min="11783" max="11783"/>
    <col width="28.1328125" customWidth="1" min="12033" max="12033"/>
    <col width="10" customWidth="1" min="12034" max="12034"/>
    <col width="14.33203125" customWidth="1" min="12035" max="12035"/>
    <col width="8" customWidth="1" min="12036" max="12036"/>
    <col width="38" customWidth="1" min="12037" max="12037"/>
    <col width="48.1328125" customWidth="1" min="12038" max="12038"/>
    <col width="9" customWidth="1" min="12039" max="12039"/>
    <col width="28.1328125" customWidth="1" min="12289" max="12289"/>
    <col width="10" customWidth="1" min="12290" max="12290"/>
    <col width="14.33203125" customWidth="1" min="12291" max="12291"/>
    <col width="8" customWidth="1" min="12292" max="12292"/>
    <col width="38" customWidth="1" min="12293" max="12293"/>
    <col width="48.1328125" customWidth="1" min="12294" max="12294"/>
    <col width="9" customWidth="1" min="12295" max="12295"/>
    <col width="28.1328125" customWidth="1" min="12545" max="12545"/>
    <col width="10" customWidth="1" min="12546" max="12546"/>
    <col width="14.33203125" customWidth="1" min="12547" max="12547"/>
    <col width="8" customWidth="1" min="12548" max="12548"/>
    <col width="38" customWidth="1" min="12549" max="12549"/>
    <col width="48.1328125" customWidth="1" min="12550" max="12550"/>
    <col width="9" customWidth="1" min="12551" max="12551"/>
    <col width="28.1328125" customWidth="1" min="12801" max="12801"/>
    <col width="10" customWidth="1" min="12802" max="12802"/>
    <col width="14.33203125" customWidth="1" min="12803" max="12803"/>
    <col width="8" customWidth="1" min="12804" max="12804"/>
    <col width="38" customWidth="1" min="12805" max="12805"/>
    <col width="48.1328125" customWidth="1" min="12806" max="12806"/>
    <col width="9" customWidth="1" min="12807" max="12807"/>
    <col width="28.1328125" customWidth="1" min="13057" max="13057"/>
    <col width="10" customWidth="1" min="13058" max="13058"/>
    <col width="14.33203125" customWidth="1" min="13059" max="13059"/>
    <col width="8" customWidth="1" min="13060" max="13060"/>
    <col width="38" customWidth="1" min="13061" max="13061"/>
    <col width="48.1328125" customWidth="1" min="13062" max="13062"/>
    <col width="9" customWidth="1" min="13063" max="13063"/>
    <col width="28.1328125" customWidth="1" min="13313" max="13313"/>
    <col width="10" customWidth="1" min="13314" max="13314"/>
    <col width="14.33203125" customWidth="1" min="13315" max="13315"/>
    <col width="8" customWidth="1" min="13316" max="13316"/>
    <col width="38" customWidth="1" min="13317" max="13317"/>
    <col width="48.1328125" customWidth="1" min="13318" max="13318"/>
    <col width="9" customWidth="1" min="13319" max="13319"/>
    <col width="28.1328125" customWidth="1" min="13569" max="13569"/>
    <col width="10" customWidth="1" min="13570" max="13570"/>
    <col width="14.33203125" customWidth="1" min="13571" max="13571"/>
    <col width="8" customWidth="1" min="13572" max="13572"/>
    <col width="38" customWidth="1" min="13573" max="13573"/>
    <col width="48.1328125" customWidth="1" min="13574" max="13574"/>
    <col width="9" customWidth="1" min="13575" max="13575"/>
    <col width="28.1328125" customWidth="1" min="13825" max="13825"/>
    <col width="10" customWidth="1" min="13826" max="13826"/>
    <col width="14.33203125" customWidth="1" min="13827" max="13827"/>
    <col width="8" customWidth="1" min="13828" max="13828"/>
    <col width="38" customWidth="1" min="13829" max="13829"/>
    <col width="48.1328125" customWidth="1" min="13830" max="13830"/>
    <col width="9" customWidth="1" min="13831" max="13831"/>
    <col width="28.1328125" customWidth="1" min="14081" max="14081"/>
    <col width="10" customWidth="1" min="14082" max="14082"/>
    <col width="14.33203125" customWidth="1" min="14083" max="14083"/>
    <col width="8" customWidth="1" min="14084" max="14084"/>
    <col width="38" customWidth="1" min="14085" max="14085"/>
    <col width="48.1328125" customWidth="1" min="14086" max="14086"/>
    <col width="9" customWidth="1" min="14087" max="14087"/>
    <col width="28.1328125" customWidth="1" min="14337" max="14337"/>
    <col width="10" customWidth="1" min="14338" max="14338"/>
    <col width="14.33203125" customWidth="1" min="14339" max="14339"/>
    <col width="8" customWidth="1" min="14340" max="14340"/>
    <col width="38" customWidth="1" min="14341" max="14341"/>
    <col width="48.1328125" customWidth="1" min="14342" max="14342"/>
    <col width="9" customWidth="1" min="14343" max="14343"/>
    <col width="28.1328125" customWidth="1" min="14593" max="14593"/>
    <col width="10" customWidth="1" min="14594" max="14594"/>
    <col width="14.33203125" customWidth="1" min="14595" max="14595"/>
    <col width="8" customWidth="1" min="14596" max="14596"/>
    <col width="38" customWidth="1" min="14597" max="14597"/>
    <col width="48.1328125" customWidth="1" min="14598" max="14598"/>
    <col width="9" customWidth="1" min="14599" max="14599"/>
    <col width="28.1328125" customWidth="1" min="14849" max="14849"/>
    <col width="10" customWidth="1" min="14850" max="14850"/>
    <col width="14.33203125" customWidth="1" min="14851" max="14851"/>
    <col width="8" customWidth="1" min="14852" max="14852"/>
    <col width="38" customWidth="1" min="14853" max="14853"/>
    <col width="48.1328125" customWidth="1" min="14854" max="14854"/>
    <col width="9" customWidth="1" min="14855" max="14855"/>
    <col width="28.1328125" customWidth="1" min="15105" max="15105"/>
    <col width="10" customWidth="1" min="15106" max="15106"/>
    <col width="14.33203125" customWidth="1" min="15107" max="15107"/>
    <col width="8" customWidth="1" min="15108" max="15108"/>
    <col width="38" customWidth="1" min="15109" max="15109"/>
    <col width="48.1328125" customWidth="1" min="15110" max="15110"/>
    <col width="9" customWidth="1" min="15111" max="15111"/>
    <col width="28.1328125" customWidth="1" min="15361" max="15361"/>
    <col width="10" customWidth="1" min="15362" max="15362"/>
    <col width="14.33203125" customWidth="1" min="15363" max="15363"/>
    <col width="8" customWidth="1" min="15364" max="15364"/>
    <col width="38" customWidth="1" min="15365" max="15365"/>
    <col width="48.1328125" customWidth="1" min="15366" max="15366"/>
    <col width="9" customWidth="1" min="15367" max="15367"/>
    <col width="28.1328125" customWidth="1" min="15617" max="15617"/>
    <col width="10" customWidth="1" min="15618" max="15618"/>
    <col width="14.33203125" customWidth="1" min="15619" max="15619"/>
    <col width="8" customWidth="1" min="15620" max="15620"/>
    <col width="38" customWidth="1" min="15621" max="15621"/>
    <col width="48.1328125" customWidth="1" min="15622" max="15622"/>
    <col width="9" customWidth="1" min="15623" max="15623"/>
    <col width="28.1328125" customWidth="1" min="15873" max="15873"/>
    <col width="10" customWidth="1" min="15874" max="15874"/>
    <col width="14.33203125" customWidth="1" min="15875" max="15875"/>
    <col width="8" customWidth="1" min="15876" max="15876"/>
    <col width="38" customWidth="1" min="15877" max="15877"/>
    <col width="48.1328125" customWidth="1" min="15878" max="15878"/>
    <col width="9" customWidth="1" min="15879" max="15879"/>
    <col width="28.1328125" customWidth="1" min="16129" max="16129"/>
    <col width="10" customWidth="1" min="16130" max="16130"/>
    <col width="14.33203125" customWidth="1" min="16131" max="16131"/>
    <col width="8" customWidth="1" min="16132" max="16132"/>
    <col width="38" customWidth="1" min="16133" max="16133"/>
    <col width="48.1328125" customWidth="1" min="16134" max="16134"/>
    <col width="9" customWidth="1" min="16135" max="16135"/>
  </cols>
  <sheetData>
    <row r="1"/>
    <row r="2" ht="75.75" customHeight="1">
      <c r="A2" s="1" t="n"/>
      <c r="B2" s="2" t="inlineStr">
        <is>
          <t>SYSTEM TEST REPORT DOCUMENT</t>
        </is>
      </c>
      <c r="C2" s="3" t="n"/>
      <c r="D2" s="3" t="n"/>
      <c r="E2" s="3" t="n"/>
      <c r="F2" s="4" t="n"/>
    </row>
    <row r="3">
      <c r="A3" s="5" t="n"/>
      <c r="B3" s="6" t="n"/>
      <c r="E3" s="7" t="n"/>
    </row>
    <row r="4" ht="14.25" customHeight="1">
      <c r="A4" s="8" t="inlineStr">
        <is>
          <t>Project Name</t>
        </is>
      </c>
      <c r="B4" s="9" t="inlineStr">
        <is>
          <t>Hostel Management System</t>
        </is>
      </c>
      <c r="C4" s="3" t="n"/>
      <c r="D4" s="4" t="n"/>
      <c r="E4" s="8" t="inlineStr">
        <is>
          <t>Creator</t>
        </is>
      </c>
      <c r="F4" s="10" t="inlineStr">
        <is>
          <t>Team SWP391</t>
        </is>
      </c>
    </row>
    <row r="5" ht="14.25" customHeight="1">
      <c r="A5" s="8" t="inlineStr">
        <is>
          <t>Project Code</t>
        </is>
      </c>
      <c r="B5" s="9" t="inlineStr">
        <is>
          <t>SWP391-HMS</t>
        </is>
      </c>
      <c r="C5" s="3" t="n"/>
      <c r="D5" s="4" t="n"/>
      <c r="E5" s="8" t="inlineStr">
        <is>
          <t>Issue Date</t>
        </is>
      </c>
      <c r="F5" s="11" t="inlineStr">
        <is>
          <t>2026-07-22</t>
        </is>
      </c>
    </row>
    <row r="6" ht="15.75" customHeight="1">
      <c r="A6" s="12" t="inlineStr">
        <is>
          <t>Document Code</t>
        </is>
      </c>
      <c r="B6" s="13">
        <f>B5&amp;"_"&amp;"XXX"&amp;"_"&amp;"vx.x"</f>
        <v/>
      </c>
      <c r="C6" s="3" t="n"/>
      <c r="D6" s="4" t="n"/>
      <c r="E6" s="8" t="inlineStr">
        <is>
          <t>Version</t>
        </is>
      </c>
      <c r="F6" s="14" t="n"/>
    </row>
    <row r="7">
      <c r="A7" s="15" t="n"/>
      <c r="B7" s="16" t="n"/>
      <c r="E7" s="17" t="n"/>
      <c r="F7" s="6" t="n"/>
    </row>
    <row r="8">
      <c r="A8" s="18" t="n"/>
    </row>
    <row r="9">
      <c r="A9" s="19" t="inlineStr">
        <is>
          <t>Record of change</t>
        </is>
      </c>
    </row>
    <row r="10">
      <c r="A10" s="20" t="inlineStr">
        <is>
          <t>Effective Date</t>
        </is>
      </c>
      <c r="B10" s="21" t="inlineStr">
        <is>
          <t>Version</t>
        </is>
      </c>
      <c r="C10" s="21" t="inlineStr">
        <is>
          <t>Change Item</t>
        </is>
      </c>
      <c r="D10" s="21" t="inlineStr">
        <is>
          <t>*A,D,M</t>
        </is>
      </c>
      <c r="E10" s="21" t="inlineStr">
        <is>
          <t>Change description</t>
        </is>
      </c>
      <c r="F10" s="22" t="inlineStr">
        <is>
          <t>Reference</t>
        </is>
      </c>
    </row>
    <row r="11" ht="26.25" customHeight="1">
      <c r="A11" s="23" t="inlineStr">
        <is>
          <t>&lt;Date when these changes are effective&gt;</t>
        </is>
      </c>
      <c r="B11" s="24" t="n"/>
      <c r="C11" s="25" t="n"/>
      <c r="D11" s="25" t="n"/>
      <c r="E11" s="26" t="n"/>
      <c r="F11" s="27" t="inlineStr">
        <is>
          <t>&lt;List of documents which are refered in this version.&gt;</t>
        </is>
      </c>
    </row>
    <row r="12" ht="21.75" customHeight="1">
      <c r="A12" s="28" t="n"/>
      <c r="B12" s="24" t="n"/>
      <c r="C12" s="25" t="n"/>
      <c r="D12" s="25" t="n"/>
      <c r="E12" s="25" t="n"/>
      <c r="F12" s="29" t="n"/>
    </row>
    <row r="13" ht="19.5" customHeight="1">
      <c r="A13" s="28" t="n"/>
      <c r="B13" s="24" t="n"/>
      <c r="C13" s="25" t="n"/>
      <c r="D13" s="25" t="n"/>
      <c r="E13" s="25" t="n"/>
      <c r="F13" s="29" t="n"/>
    </row>
    <row r="14" ht="21.75" customHeight="1">
      <c r="A14" s="28" t="n"/>
      <c r="B14" s="24" t="n"/>
      <c r="C14" s="25" t="n"/>
      <c r="D14" s="25" t="n"/>
      <c r="E14" s="25" t="n"/>
      <c r="F14" s="29" t="n"/>
    </row>
    <row r="15" ht="19.5" customHeight="1">
      <c r="A15" s="28" t="n"/>
      <c r="B15" s="24" t="n"/>
      <c r="C15" s="25" t="n"/>
      <c r="D15" s="25" t="n"/>
      <c r="E15" s="25" t="n"/>
      <c r="F15" s="29" t="n"/>
    </row>
    <row r="16" ht="21.75" customHeight="1">
      <c r="A16" s="28" t="n"/>
      <c r="B16" s="24" t="n"/>
      <c r="C16" s="25" t="n"/>
      <c r="D16" s="25" t="n"/>
      <c r="E16" s="25" t="n"/>
      <c r="F16" s="29" t="n"/>
    </row>
    <row r="17" ht="19.5" customHeight="1">
      <c r="A17" s="30" t="n"/>
      <c r="B17" s="31" t="n"/>
      <c r="C17" s="32" t="n"/>
      <c r="D17" s="32" t="n"/>
      <c r="E17" s="32" t="n"/>
      <c r="F17" s="33" t="n"/>
    </row>
  </sheetData>
  <mergeCells count="4">
    <mergeCell ref="B2:F2"/>
    <mergeCell ref="B6:D6"/>
    <mergeCell ref="B5:D5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.33203125" customWidth="1" min="1" max="1"/>
    <col width="6.3984375" customWidth="1" min="2" max="2"/>
    <col width="26.46484375" customWidth="1" min="3" max="3"/>
    <col width="17.1328125" customWidth="1" min="4" max="4"/>
    <col width="28.1328125" customWidth="1" min="5" max="5"/>
    <col width="30.6640625" customWidth="1" min="6" max="6"/>
    <col width="9" customWidth="1" min="7" max="7"/>
  </cols>
  <sheetData>
    <row r="1" ht="24.4" customHeight="1">
      <c r="B1" s="34" t="n"/>
      <c r="D1" s="35" t="inlineStr">
        <is>
          <t>TEST CASE LIST</t>
        </is>
      </c>
      <c r="E1" s="36" t="n"/>
    </row>
    <row r="2" ht="13.5" customHeight="1">
      <c r="B2" s="34" t="n"/>
      <c r="D2" s="37" t="n"/>
      <c r="E2" s="37" t="n"/>
    </row>
    <row r="3">
      <c r="B3" s="38" t="inlineStr">
        <is>
          <t>Project Name</t>
        </is>
      </c>
      <c r="C3" s="3" t="n"/>
      <c r="D3" s="39" t="inlineStr">
        <is>
          <t>Hostel Management System</t>
        </is>
      </c>
      <c r="E3" s="3" t="n"/>
      <c r="F3" s="4" t="n"/>
    </row>
    <row r="4">
      <c r="B4" s="38" t="inlineStr">
        <is>
          <t>Project Code</t>
        </is>
      </c>
      <c r="C4" s="3" t="n"/>
      <c r="D4" s="39" t="inlineStr">
        <is>
          <t>SWP391-HMS</t>
        </is>
      </c>
      <c r="E4" s="3" t="n"/>
      <c r="F4" s="4" t="n"/>
    </row>
    <row r="5" ht="84.75" customHeight="1">
      <c r="B5" s="40" t="inlineStr">
        <is>
          <t>Test Environment Setup Description</t>
        </is>
      </c>
      <c r="C5" s="4" t="n"/>
      <c r="D5" s="41" t="inlineStr">
        <is>
          <t>&lt;List enviroment requires in this system
1. Server
2. Database
3. Web Browser
...
&gt;</t>
        </is>
      </c>
      <c r="E5" s="3" t="n"/>
      <c r="F5" s="4" t="n"/>
    </row>
    <row r="6">
      <c r="B6" s="42" t="n"/>
      <c r="C6" s="7" t="n"/>
      <c r="D6" s="7" t="n"/>
      <c r="E6" s="7" t="n"/>
      <c r="F6" s="7" t="n"/>
    </row>
    <row r="7">
      <c r="B7" s="43" t="n"/>
      <c r="C7" s="44" t="n"/>
      <c r="D7" s="44" t="n"/>
      <c r="E7" s="44" t="n"/>
      <c r="F7" s="44" t="n"/>
    </row>
    <row r="8" ht="21" customHeight="1">
      <c r="B8" s="45" t="inlineStr">
        <is>
          <t>No</t>
        </is>
      </c>
      <c r="C8" s="46" t="inlineStr">
        <is>
          <t>Function Name</t>
        </is>
      </c>
      <c r="D8" s="46" t="inlineStr">
        <is>
          <t>Sheet Name</t>
        </is>
      </c>
      <c r="E8" s="47" t="inlineStr">
        <is>
          <t>Description</t>
        </is>
      </c>
      <c r="F8" s="48" t="inlineStr">
        <is>
          <t>Pre-Condition</t>
        </is>
      </c>
    </row>
    <row r="9">
      <c r="B9" s="49" t="n">
        <v>1</v>
      </c>
      <c r="C9" s="50" t="inlineStr">
        <is>
          <t>Function A</t>
        </is>
      </c>
      <c r="D9" s="51" t="inlineStr">
        <is>
          <t>Workflow Name1</t>
        </is>
      </c>
      <c r="E9" s="52" t="n"/>
      <c r="F9" s="53" t="n"/>
    </row>
    <row r="10">
      <c r="B10" s="49" t="n">
        <v>2</v>
      </c>
      <c r="C10" s="50" t="inlineStr">
        <is>
          <t>Function B</t>
        </is>
      </c>
      <c r="D10" s="51" t="inlineStr">
        <is>
          <t>Workflow Name1</t>
        </is>
      </c>
      <c r="E10" s="52" t="n"/>
      <c r="F10" s="53" t="n"/>
    </row>
    <row r="11">
      <c r="B11" s="49" t="n">
        <v>3</v>
      </c>
      <c r="C11" s="50" t="inlineStr">
        <is>
          <t>Function C</t>
        </is>
      </c>
      <c r="D11" s="51" t="inlineStr">
        <is>
          <t>Workflow Name1</t>
        </is>
      </c>
      <c r="E11" s="52" t="n"/>
      <c r="F11" s="53" t="n"/>
    </row>
    <row r="12">
      <c r="B12" s="49" t="n">
        <v>4</v>
      </c>
      <c r="C12" s="50" t="inlineStr">
        <is>
          <t>Function D</t>
        </is>
      </c>
      <c r="D12" s="51" t="inlineStr">
        <is>
          <t>Workflow Name2</t>
        </is>
      </c>
      <c r="E12" s="52" t="n"/>
      <c r="F12" s="53" t="n"/>
    </row>
    <row r="13">
      <c r="B13" s="49" t="n">
        <v>5</v>
      </c>
      <c r="C13" s="50" t="inlineStr">
        <is>
          <t>Function E</t>
        </is>
      </c>
      <c r="D13" s="51" t="inlineStr">
        <is>
          <t>Workflow Name2</t>
        </is>
      </c>
      <c r="E13" s="52" t="n"/>
      <c r="F13" s="53" t="n"/>
    </row>
    <row r="14">
      <c r="B14" s="49" t="n"/>
      <c r="C14" s="50" t="n"/>
      <c r="D14" s="54" t="n"/>
      <c r="E14" s="54" t="n"/>
      <c r="F14" s="53" t="n"/>
    </row>
    <row r="15">
      <c r="B15" s="49" t="n"/>
      <c r="C15" s="50" t="n"/>
      <c r="D15" s="54" t="n"/>
      <c r="E15" s="54" t="n"/>
      <c r="F15" s="53" t="n"/>
    </row>
    <row r="16">
      <c r="B16" s="49" t="n"/>
      <c r="C16" s="50" t="n"/>
      <c r="D16" s="54" t="n"/>
      <c r="E16" s="54" t="n"/>
      <c r="F16" s="53" t="n"/>
    </row>
    <row r="17">
      <c r="B17" s="49" t="n"/>
      <c r="C17" s="50" t="n"/>
      <c r="D17" s="54" t="n"/>
      <c r="E17" s="54" t="n"/>
      <c r="F17" s="53" t="n"/>
    </row>
    <row r="18">
      <c r="B18" s="49" t="n"/>
      <c r="C18" s="50" t="n"/>
      <c r="D18" s="54" t="n"/>
      <c r="E18" s="54" t="n"/>
      <c r="F18" s="53" t="n"/>
    </row>
    <row r="19">
      <c r="B19" s="49" t="n"/>
      <c r="C19" s="50" t="n"/>
      <c r="D19" s="54" t="n"/>
      <c r="E19" s="54" t="n"/>
      <c r="F19" s="53" t="n"/>
    </row>
    <row r="20">
      <c r="B20" s="49" t="n"/>
      <c r="C20" s="50" t="n"/>
      <c r="D20" s="54" t="n"/>
      <c r="E20" s="54" t="n"/>
      <c r="F20" s="53" t="n"/>
    </row>
    <row r="21">
      <c r="B21" s="55" t="n"/>
      <c r="C21" s="56" t="n"/>
      <c r="D21" s="57" t="n"/>
      <c r="E21" s="57" t="n"/>
      <c r="F21" s="58" t="n"/>
    </row>
  </sheetData>
  <mergeCells count="6">
    <mergeCell ref="D5:F5"/>
    <mergeCell ref="B3:C3"/>
    <mergeCell ref="B5:C5"/>
    <mergeCell ref="D4:F4"/>
    <mergeCell ref="D3:F3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.46484375" customWidth="1" min="1" max="1"/>
    <col width="18.33203125" customWidth="1" min="2" max="2"/>
    <col width="19.33203125" customWidth="1" min="3" max="3"/>
    <col width="11.6640625" customWidth="1" min="4" max="4"/>
    <col width="9" customWidth="1" min="7" max="7"/>
    <col width="35.46484375" customWidth="1" min="8" max="8"/>
    <col width="33.1328125" customWidth="1" min="9" max="9"/>
    <col width="9" customWidth="1" min="10" max="10"/>
  </cols>
  <sheetData>
    <row r="1" ht="25.5" customHeight="1">
      <c r="B1" s="59" t="inlineStr">
        <is>
          <t>TEST STATISTICS</t>
        </is>
      </c>
    </row>
    <row r="2" ht="14.25" customHeight="1">
      <c r="A2" s="60" t="n"/>
      <c r="B2" s="60" t="n"/>
      <c r="C2" s="7" t="n"/>
      <c r="D2" s="7" t="n"/>
      <c r="E2" s="7" t="n"/>
      <c r="F2" s="7" t="n"/>
      <c r="G2" s="7" t="n"/>
      <c r="H2" s="61" t="n"/>
    </row>
    <row r="3" ht="12" customHeight="1">
      <c r="B3" s="62" t="inlineStr">
        <is>
          <t>Project Name</t>
        </is>
      </c>
      <c r="C3" s="39" t="inlineStr">
        <is>
          <t>Hostel Management System</t>
        </is>
      </c>
      <c r="D3" s="4" t="n"/>
      <c r="E3" s="63" t="inlineStr">
        <is>
          <t>Creator</t>
        </is>
      </c>
      <c r="F3" s="4" t="n"/>
      <c r="G3" s="64" t="n"/>
      <c r="H3" s="65" t="n"/>
    </row>
    <row r="4" ht="12" customHeight="1">
      <c r="B4" s="62" t="inlineStr">
        <is>
          <t>Project Code</t>
        </is>
      </c>
      <c r="C4" s="39" t="inlineStr">
        <is>
          <t>SWP391-HMS</t>
        </is>
      </c>
      <c r="D4" s="4" t="n"/>
      <c r="E4" s="63" t="inlineStr">
        <is>
          <t>Reviewer/Approver</t>
        </is>
      </c>
      <c r="F4" s="4" t="n"/>
      <c r="G4" s="64" t="n"/>
      <c r="H4" s="65" t="n"/>
    </row>
    <row r="5" ht="12" customHeight="1">
      <c r="B5" s="66" t="inlineStr">
        <is>
          <t>Document Code</t>
        </is>
      </c>
      <c r="C5" s="39" t="inlineStr">
        <is>
          <t>SWP391-HMS_Test Report_v1.0</t>
        </is>
      </c>
      <c r="D5" s="4" t="n"/>
      <c r="E5" s="63" t="inlineStr">
        <is>
          <t>Issue Date</t>
        </is>
      </c>
      <c r="F5" s="4" t="n"/>
      <c r="G5" s="64" t="n"/>
      <c r="H5" s="67" t="inlineStr">
        <is>
          <t>2026-07-22</t>
        </is>
      </c>
    </row>
    <row r="6" ht="21.75" customHeight="1">
      <c r="A6" s="60" t="n"/>
      <c r="B6" s="66" t="inlineStr">
        <is>
          <t>Notes</t>
        </is>
      </c>
      <c r="C6" s="68" t="inlineStr">
        <is>
          <t>&lt;List modules included in this release&gt; ex: Release 1 includes 2 modules: Module1 and Module2</t>
        </is>
      </c>
      <c r="D6" s="3" t="n"/>
      <c r="E6" s="3" t="n"/>
      <c r="F6" s="3" t="n"/>
      <c r="G6" s="3" t="n"/>
      <c r="H6" s="4" t="n"/>
    </row>
    <row r="7" ht="14.25" customHeight="1">
      <c r="A7" s="60" t="n"/>
      <c r="B7" s="69" t="n"/>
      <c r="C7" s="70" t="n"/>
      <c r="D7" s="7" t="n"/>
      <c r="E7" s="7" t="n"/>
      <c r="F7" s="7" t="n"/>
      <c r="G7" s="7" t="n"/>
      <c r="H7" s="61" t="n"/>
    </row>
    <row r="8">
      <c r="B8" s="69" t="n"/>
      <c r="C8" s="70" t="n"/>
      <c r="D8" s="7" t="n"/>
      <c r="E8" s="7" t="n"/>
      <c r="F8" s="7" t="n"/>
      <c r="G8" s="7" t="n"/>
      <c r="H8" s="61" t="n"/>
    </row>
    <row r="9"/>
    <row r="10">
      <c r="A10" s="71" t="n"/>
      <c r="B10" s="72" t="inlineStr">
        <is>
          <t>No</t>
        </is>
      </c>
      <c r="C10" s="73" t="inlineStr">
        <is>
          <t>Module code</t>
        </is>
      </c>
      <c r="D10" s="74" t="inlineStr">
        <is>
          <t>Passed</t>
        </is>
      </c>
      <c r="E10" s="73" t="inlineStr">
        <is>
          <t>Failed</t>
        </is>
      </c>
      <c r="F10" s="73" t="inlineStr">
        <is>
          <t>Pending</t>
        </is>
      </c>
      <c r="G10" s="75" t="inlineStr">
        <is>
          <t>N/A</t>
        </is>
      </c>
      <c r="H10" s="76" t="inlineStr">
        <is>
          <t>Number of  test cases</t>
        </is>
      </c>
    </row>
    <row r="11">
      <c r="A11" s="71" t="n"/>
      <c r="B11" s="77" t="n">
        <v>1</v>
      </c>
      <c r="C11" s="78">
        <f>'Workflow Name1'!B2</f>
        <v/>
      </c>
      <c r="D11" s="79">
        <f>'Workflow Name1'!B6</f>
        <v/>
      </c>
      <c r="E11" s="79">
        <f>'Workflow Name1'!C6</f>
        <v/>
      </c>
      <c r="F11" s="79">
        <f>'Workflow Name1'!D6</f>
        <v/>
      </c>
      <c r="G11" s="79">
        <f>'Workflow Name1'!E6</f>
        <v/>
      </c>
      <c r="H11" s="80">
        <f>'Workflow Name1'!B4</f>
        <v/>
      </c>
    </row>
    <row r="12">
      <c r="A12" s="71" t="n"/>
      <c r="B12" s="77" t="n">
        <v>2</v>
      </c>
      <c r="C12" s="78">
        <f>'Workflow Name2'!B2</f>
        <v/>
      </c>
      <c r="D12" s="79">
        <f>'Workflow Name2'!B6</f>
        <v/>
      </c>
      <c r="E12" s="79">
        <f>'Workflow Name2'!C6</f>
        <v/>
      </c>
      <c r="F12" s="79">
        <f>'Workflow Name2'!D6</f>
        <v/>
      </c>
      <c r="G12" s="79">
        <f>'Workflow Name2'!E6</f>
        <v/>
      </c>
      <c r="H12" s="79">
        <f>'Workflow Name2'!B4</f>
        <v/>
      </c>
    </row>
    <row r="13">
      <c r="A13" s="71" t="n"/>
      <c r="B13" s="77" t="n"/>
      <c r="C13" s="78" t="n"/>
      <c r="D13" s="79" t="n"/>
      <c r="E13" s="79" t="n"/>
      <c r="F13" s="79" t="n"/>
      <c r="G13" s="81" t="n"/>
      <c r="H13" s="80" t="n"/>
    </row>
    <row r="14">
      <c r="A14" s="71" t="n"/>
      <c r="B14" s="82" t="n"/>
      <c r="C14" s="83" t="inlineStr">
        <is>
          <t>Sub total</t>
        </is>
      </c>
      <c r="D14" s="84">
        <f>SUM(D9:D13)</f>
        <v/>
      </c>
      <c r="E14" s="84">
        <f>SUM(E9:E13)</f>
        <v/>
      </c>
      <c r="F14" s="84">
        <f>SUM(F9:F13)</f>
        <v/>
      </c>
      <c r="G14" s="84">
        <f>SUM(G9:G13)</f>
        <v/>
      </c>
      <c r="H14" s="85">
        <f>SUM(H9:H13)</f>
        <v/>
      </c>
    </row>
    <row r="15">
      <c r="B15" s="86" t="n"/>
      <c r="D15" s="87" t="n"/>
      <c r="E15" s="88" t="n"/>
      <c r="F15" s="88" t="n"/>
      <c r="G15" s="88" t="n"/>
      <c r="H15" s="88" t="n"/>
    </row>
    <row r="16">
      <c r="C16" s="89" t="inlineStr">
        <is>
          <t>Test coverage</t>
        </is>
      </c>
      <c r="E16" s="90">
        <f>(D14+E14)*100/(H14-G14)</f>
        <v/>
      </c>
      <c r="F16" s="7" t="inlineStr">
        <is>
          <t>%</t>
        </is>
      </c>
      <c r="H16" s="91" t="n"/>
    </row>
    <row r="17">
      <c r="C17" s="89" t="inlineStr">
        <is>
          <t>Test successful coverage</t>
        </is>
      </c>
      <c r="E17" s="90">
        <f>D14*100/(H14-G14)</f>
        <v/>
      </c>
      <c r="F17" s="7" t="inlineStr">
        <is>
          <t>%</t>
        </is>
      </c>
      <c r="H17" s="91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8" customWidth="1" min="5" max="5"/>
    <col width="12" customWidth="1" min="6" max="6"/>
    <col width="14" customWidth="1" min="7" max="7"/>
    <col width="22" customWidth="1" min="8" max="8"/>
    <col width="12" customWidth="1" min="9" max="9"/>
    <col width="14" customWidth="1" min="10" max="10"/>
    <col width="22" customWidth="1" min="11" max="11"/>
    <col width="12" customWidth="1" min="12" max="12"/>
    <col width="14" customWidth="1" min="13" max="13"/>
    <col width="22" customWidth="1" min="14" max="14"/>
    <col width="24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13.15" customHeight="1"/>
    <row r="2" ht="15" customHeight="1">
      <c r="A2" s="92" t="inlineStr">
        <is>
          <t>Workflow</t>
        </is>
      </c>
      <c r="B2" s="93" t="inlineStr">
        <is>
          <t>US1 – Tao va In Hop Dong Moi (Manager)</t>
        </is>
      </c>
      <c r="C2" s="94" t="n"/>
      <c r="D2" s="94" t="n"/>
      <c r="E2" s="95" t="n"/>
      <c r="F2" s="96" t="n"/>
      <c r="G2" s="97" t="n"/>
      <c r="H2" s="98" t="n"/>
      <c r="I2" s="96" t="n"/>
      <c r="J2" s="97" t="n"/>
      <c r="K2" s="98" t="n"/>
      <c r="L2" s="96" t="n"/>
      <c r="M2" s="97" t="n"/>
      <c r="N2" s="98" t="n"/>
      <c r="O2" s="98" t="n"/>
      <c r="P2" s="98" t="n"/>
      <c r="Q2" s="99" t="n"/>
      <c r="R2" s="100" t="inlineStr">
        <is>
          <t>Passed</t>
        </is>
      </c>
    </row>
    <row r="3">
      <c r="A3" s="101" t="inlineStr">
        <is>
          <t>Test requirement</t>
        </is>
      </c>
      <c r="B3" s="102" t="inlineStr">
        <is>
          <t>FR-001: Test suite phai bao phu luong tao, in hop dong va tao tai khoan. Ket qua ky vong tuong ung voi ContractServiceImpl.createContract() va addTenantFromContract().</t>
        </is>
      </c>
      <c r="C3" s="103" t="n"/>
      <c r="D3" s="103" t="n"/>
      <c r="E3" s="104" t="n"/>
      <c r="F3" s="96" t="n"/>
      <c r="G3" s="97" t="n"/>
      <c r="H3" s="98" t="n"/>
      <c r="I3" s="96" t="n"/>
      <c r="J3" s="97" t="n"/>
      <c r="K3" s="98" t="n"/>
      <c r="L3" s="96" t="n"/>
      <c r="M3" s="97" t="n"/>
      <c r="N3" s="98" t="n"/>
      <c r="O3" s="98" t="n"/>
      <c r="P3" s="98" t="n"/>
      <c r="Q3" s="99" t="n"/>
      <c r="R3" s="100" t="inlineStr">
        <is>
          <t>Failed</t>
        </is>
      </c>
    </row>
    <row r="4" ht="18" customHeight="1">
      <c r="A4" s="101" t="inlineStr">
        <is>
          <t>Number of TCs</t>
        </is>
      </c>
      <c r="B4" s="102">
        <f>COUNTA(A12:A1000)</f>
        <v/>
      </c>
      <c r="C4" s="103" t="n"/>
      <c r="D4" s="103" t="n"/>
      <c r="E4" s="104" t="n"/>
      <c r="F4" s="96" t="n"/>
      <c r="G4" s="97" t="n"/>
      <c r="H4" s="98" t="n"/>
      <c r="I4" s="96" t="n"/>
      <c r="J4" s="97" t="n"/>
      <c r="K4" s="98" t="n"/>
      <c r="L4" s="96" t="n"/>
      <c r="M4" s="97" t="n"/>
      <c r="N4" s="98" t="n"/>
      <c r="O4" s="98" t="n"/>
      <c r="P4" s="98" t="n"/>
      <c r="Q4" s="99" t="n"/>
      <c r="R4" s="100" t="inlineStr">
        <is>
          <t>Pending</t>
        </is>
      </c>
    </row>
    <row r="5" ht="19.5" customHeight="1">
      <c r="A5" s="105" t="inlineStr">
        <is>
          <t>Testing Round</t>
        </is>
      </c>
      <c r="B5" s="106" t="inlineStr">
        <is>
          <t>Passed</t>
        </is>
      </c>
      <c r="C5" s="106" t="inlineStr">
        <is>
          <t>Failed</t>
        </is>
      </c>
      <c r="D5" s="106" t="inlineStr">
        <is>
          <t>Pending</t>
        </is>
      </c>
      <c r="E5" s="107" t="inlineStr">
        <is>
          <t>N/A</t>
        </is>
      </c>
      <c r="F5" s="108" t="n"/>
      <c r="G5" s="108" t="n"/>
      <c r="H5" s="109" t="n"/>
      <c r="I5" s="108" t="n"/>
      <c r="J5" s="108" t="n"/>
      <c r="K5" s="109" t="n"/>
      <c r="L5" s="108" t="n"/>
      <c r="M5" s="108" t="n"/>
      <c r="N5" s="109" t="n"/>
      <c r="O5" s="109" t="n"/>
      <c r="P5" s="109" t="n"/>
      <c r="Q5" s="110" t="n"/>
      <c r="R5" s="100" t="inlineStr">
        <is>
          <t>N/A</t>
        </is>
      </c>
    </row>
    <row r="6" ht="15" customHeight="1">
      <c r="A6" s="105" t="inlineStr">
        <is>
          <t>Round 1</t>
        </is>
      </c>
      <c r="B6" s="111">
        <f>COUNTIF($F10:$F998,B5)</f>
        <v/>
      </c>
      <c r="C6" s="111">
        <f>COUNTIF($F10:$F998,C5)</f>
        <v/>
      </c>
      <c r="D6" s="111">
        <f>COUNTIF($F10:$F998,D5)</f>
        <v/>
      </c>
      <c r="E6" s="112">
        <f>COUNTIF($F10:$F998,E5)</f>
        <v/>
      </c>
      <c r="F6" s="113" t="n"/>
      <c r="G6" s="113" t="n"/>
      <c r="H6" s="109" t="n"/>
      <c r="I6" s="113" t="n"/>
      <c r="J6" s="113" t="n"/>
      <c r="K6" s="109" t="n"/>
      <c r="L6" s="113" t="n"/>
      <c r="M6" s="113" t="n"/>
      <c r="N6" s="109" t="n"/>
      <c r="O6" s="109" t="n"/>
      <c r="P6" s="109" t="n"/>
      <c r="Q6" s="110" t="n"/>
    </row>
    <row r="7" ht="15" customHeight="1">
      <c r="A7" s="105" t="inlineStr">
        <is>
          <t>Round 2</t>
        </is>
      </c>
      <c r="B7" s="111">
        <f>COUNTIF($F10:$F998,B5)</f>
        <v/>
      </c>
      <c r="C7" s="111">
        <f>COUNTIF($F10:$F998,C5)</f>
        <v/>
      </c>
      <c r="D7" s="111">
        <f>COUNTIF($F10:$F998,D5)</f>
        <v/>
      </c>
      <c r="E7" s="112">
        <f>COUNTIF($F10:$F998,E5)</f>
        <v/>
      </c>
      <c r="F7" s="113" t="n"/>
      <c r="G7" s="113" t="n"/>
      <c r="H7" s="109" t="n"/>
      <c r="I7" s="113" t="n"/>
      <c r="J7" s="113" t="n"/>
      <c r="K7" s="109" t="n"/>
      <c r="L7" s="113" t="n"/>
      <c r="M7" s="113" t="n"/>
      <c r="N7" s="109" t="n"/>
      <c r="O7" s="109" t="n"/>
      <c r="P7" s="109" t="n"/>
      <c r="Q7" s="110" t="n"/>
    </row>
    <row r="8" ht="15" customHeight="1">
      <c r="A8" s="114" t="inlineStr">
        <is>
          <t>Round 3</t>
        </is>
      </c>
      <c r="B8" s="115">
        <f>COUNTIF($F10:$F998,B5)</f>
        <v/>
      </c>
      <c r="C8" s="115">
        <f>COUNTIF($F10:$F998,C5)</f>
        <v/>
      </c>
      <c r="D8" s="115">
        <f>COUNTIF($F10:$F998,D5)</f>
        <v/>
      </c>
      <c r="E8" s="116">
        <f>COUNTIF($F10:$F998,E5)</f>
        <v/>
      </c>
      <c r="F8" s="113" t="n"/>
      <c r="G8" s="113" t="n"/>
      <c r="H8" s="109" t="n"/>
      <c r="I8" s="113" t="n"/>
      <c r="J8" s="113" t="n"/>
      <c r="K8" s="109" t="n"/>
      <c r="L8" s="113" t="n"/>
      <c r="M8" s="113" t="n"/>
      <c r="N8" s="109" t="n"/>
      <c r="O8" s="109" t="n"/>
      <c r="P8" s="109" t="n"/>
      <c r="Q8" s="110" t="n"/>
    </row>
    <row r="9" ht="15" customHeight="1">
      <c r="A9" s="109" t="n"/>
      <c r="B9" s="109" t="n"/>
      <c r="C9" s="109" t="n"/>
      <c r="D9" s="109" t="n"/>
      <c r="E9" s="109" t="n"/>
      <c r="F9" s="91" t="n"/>
      <c r="G9" s="109" t="n"/>
      <c r="H9" s="109" t="n"/>
      <c r="I9" s="91" t="n"/>
      <c r="J9" s="109" t="n"/>
      <c r="K9" s="109" t="n"/>
      <c r="L9" s="91" t="n"/>
      <c r="M9" s="109" t="n"/>
      <c r="N9" s="109" t="n"/>
      <c r="O9" s="109" t="n"/>
      <c r="P9" s="109" t="n"/>
      <c r="Q9" s="110" t="n"/>
    </row>
    <row r="10" ht="25.5" customHeight="1">
      <c r="A10" s="117" t="inlineStr">
        <is>
          <t>Test Case ID</t>
        </is>
      </c>
      <c r="B10" s="117" t="inlineStr">
        <is>
          <t>Test Case Description</t>
        </is>
      </c>
      <c r="C10" s="117" t="inlineStr">
        <is>
          <t>Test Case Procedure</t>
        </is>
      </c>
      <c r="D10" s="117" t="inlineStr">
        <is>
          <t>Expected Results</t>
        </is>
      </c>
      <c r="E10" s="117" t="inlineStr">
        <is>
          <t>Pre-conditions</t>
        </is>
      </c>
      <c r="F10" s="117" t="inlineStr">
        <is>
          <t>Round 1</t>
        </is>
      </c>
      <c r="G10" s="117" t="inlineStr">
        <is>
          <t>Test date</t>
        </is>
      </c>
      <c r="H10" s="117" t="inlineStr">
        <is>
          <t>Tester</t>
        </is>
      </c>
      <c r="I10" s="117" t="inlineStr">
        <is>
          <t>Round 2</t>
        </is>
      </c>
      <c r="J10" s="117" t="inlineStr">
        <is>
          <t>Test date</t>
        </is>
      </c>
      <c r="K10" s="117" t="inlineStr">
        <is>
          <t>Tester</t>
        </is>
      </c>
      <c r="L10" s="117" t="inlineStr">
        <is>
          <t>Round 3</t>
        </is>
      </c>
      <c r="M10" s="117" t="inlineStr">
        <is>
          <t>Test date</t>
        </is>
      </c>
      <c r="N10" s="117" t="inlineStr">
        <is>
          <t>Tester</t>
        </is>
      </c>
      <c r="O10" s="117" t="inlineStr">
        <is>
          <t>Note</t>
        </is>
      </c>
      <c r="Q10" s="118" t="n"/>
    </row>
    <row r="11" ht="18" customHeight="1">
      <c r="A11" s="119" t="inlineStr">
        <is>
          <t>Nhom 1: Tao Hop Dong (createContract)</t>
        </is>
      </c>
      <c r="B11" s="120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1" t="n"/>
      <c r="Q11" s="122" t="n"/>
    </row>
    <row r="12" ht="60" customHeight="1">
      <c r="A12" s="123" t="inlineStr">
        <is>
          <t>TC_CC_01</t>
        </is>
      </c>
      <c r="B12" s="123" t="inlineStr">
        <is>
          <t>Tao hop dong thanh cong voi day du thong tin hop le</t>
        </is>
      </c>
      <c r="C12" s="123" t="inlineStr">
        <is>
          <t>1. Manager co quyen quan ly phong P101
2. Phong P101 dang trong (khong co HĐ ACTIVE)
3. Goi contractService.createContract(validContract, managerId=1)</t>
        </is>
      </c>
      <c r="D12" s="123" t="inlineStr">
        <is>
          <t>- status = 'ACTIVE'
- code bat dau bang 'HD-P101-'
- createdBy = 1
- contractId = 1
- contractDAO.create() duoc goi dung 1 lan
- roomDAO.update() duoc goi dung 1 lan</t>
        </is>
      </c>
      <c r="E12" s="123" t="inlineStr">
        <is>
          <t>- roomDAO.findById(101) tra ve validRoom
- roomDAO.findFacilityByRoomId(101) tra ve facility (managerId=1)
- contractDAO.findActiveContractByRoomId(101) tra ve empty
- contractDAO.create() tra ve 1</t>
        </is>
      </c>
      <c r="F12" s="124" t="inlineStr">
        <is>
          <t>PASS</t>
        </is>
      </c>
      <c r="G12" s="123" t="inlineStr">
        <is>
          <t>2026-07-22</t>
        </is>
      </c>
      <c r="H12" s="123" t="inlineStr">
        <is>
          <t>Unit Test (JUnit 5 + Mockito)</t>
        </is>
      </c>
      <c r="I12" s="123" t="inlineStr">
        <is>
          <t>Pending</t>
        </is>
      </c>
      <c r="J12" s="123" t="inlineStr"/>
      <c r="K12" s="123" t="inlineStr"/>
      <c r="L12" s="123" t="inlineStr">
        <is>
          <t>Pending</t>
        </is>
      </c>
      <c r="M12" s="123" t="inlineStr"/>
      <c r="N12" s="123" t="inlineStr"/>
      <c r="O12" s="123" t="inlineStr"/>
      <c r="Q12" s="125" t="n"/>
    </row>
    <row r="13" ht="60" customHeight="1">
      <c r="A13" s="123" t="inlineStr">
        <is>
          <t>TC_CC_02</t>
        </is>
      </c>
      <c r="B13" s="123" t="inlineStr">
        <is>
          <t>Tao hop dong nhung bo trong Ho ten khach thue</t>
        </is>
      </c>
      <c r="C13" s="123" t="inlineStr">
        <is>
          <t>1. Dat tenantFullName = '' (rong)
2. Phong P101 ton tai, Manager co quyen
3. Goi contractService.createContract(validContract, 1)</t>
        </is>
      </c>
      <c r="D13" s="123" t="inlineStr">
        <is>
          <t>Nem Exception chua message 'Ten nguoi thue khong duoc de trong'</t>
        </is>
      </c>
      <c r="E13" s="123" t="inlineStr">
        <is>
          <t>- validContract.tenantFullName = ''
- roomDAO va contractDAO mock binh thuong</t>
        </is>
      </c>
      <c r="F13" s="124" t="inlineStr">
        <is>
          <t>PASS</t>
        </is>
      </c>
      <c r="G13" s="123" t="inlineStr">
        <is>
          <t>2026-07-22</t>
        </is>
      </c>
      <c r="H13" s="123" t="inlineStr">
        <is>
          <t>Unit Test (JUnit 5 + Mockito)</t>
        </is>
      </c>
      <c r="I13" s="123" t="inlineStr">
        <is>
          <t>Pending</t>
        </is>
      </c>
      <c r="J13" s="123" t="inlineStr"/>
      <c r="K13" s="123" t="inlineStr"/>
      <c r="L13" s="123" t="inlineStr">
        <is>
          <t>Pending</t>
        </is>
      </c>
      <c r="M13" s="123" t="inlineStr"/>
      <c r="N13" s="123" t="inlineStr"/>
      <c r="O13" s="123" t="inlineStr"/>
      <c r="Q13" s="125" t="n"/>
    </row>
    <row r="14" ht="60" customHeight="1">
      <c r="A14" s="123" t="inlineStr">
        <is>
          <t>TC_CC_03</t>
        </is>
      </c>
      <c r="B14" s="123" t="inlineStr">
        <is>
          <t>Tao hop dong nhung bo trong so CMND/CCCD</t>
        </is>
      </c>
      <c r="C14" s="123" t="inlineStr">
        <is>
          <t>1. Dat tenantIdentityNumber = null
2. Goi contractService.createContract(validContract, 1)</t>
        </is>
      </c>
      <c r="D14" s="123" t="inlineStr">
        <is>
          <t>Nem Exception chua message 'CCCD khong duoc de trong'</t>
        </is>
      </c>
      <c r="E14" s="123" t="inlineStr">
        <is>
          <t>- validContract.tenantIdentityNumber = null
- Room va Facility mock binh thuong</t>
        </is>
      </c>
      <c r="F14" s="124" t="inlineStr">
        <is>
          <t>PASS</t>
        </is>
      </c>
      <c r="G14" s="123" t="inlineStr">
        <is>
          <t>2026-07-22</t>
        </is>
      </c>
      <c r="H14" s="123" t="inlineStr">
        <is>
          <t>Unit Test (JUnit 5 + Mockito)</t>
        </is>
      </c>
      <c r="I14" s="123" t="inlineStr">
        <is>
          <t>Pending</t>
        </is>
      </c>
      <c r="J14" s="123" t="inlineStr"/>
      <c r="K14" s="123" t="inlineStr"/>
      <c r="L14" s="123" t="inlineStr">
        <is>
          <t>Pending</t>
        </is>
      </c>
      <c r="M14" s="123" t="inlineStr"/>
      <c r="N14" s="123" t="inlineStr"/>
      <c r="O14" s="123" t="inlineStr"/>
      <c r="Q14" s="125" t="n"/>
    </row>
    <row r="15" ht="60" customHeight="1">
      <c r="A15" s="123" t="inlineStr">
        <is>
          <t>TC_CC_04</t>
        </is>
      </c>
      <c r="B15" s="123" t="inlineStr">
        <is>
          <t>Tao hop dong nhung chua chon phong thue (roomId = 0)</t>
        </is>
      </c>
      <c r="C15" s="123" t="inlineStr">
        <is>
          <t>1. Dat roomId = 0
2. roomDAO.findById(0) tra ve empty
3. Goi createContract()</t>
        </is>
      </c>
      <c r="D15" s="123" t="inlineStr">
        <is>
          <t>Nem Exception chua message 'Phong khong ton tai'</t>
        </is>
      </c>
      <c r="E15" s="123" t="inlineStr">
        <is>
          <t>- validContract.roomId = 0
- roomDAO.findById(0) mock tra ve Optional.empty()</t>
        </is>
      </c>
      <c r="F15" s="124" t="inlineStr">
        <is>
          <t>PASS</t>
        </is>
      </c>
      <c r="G15" s="123" t="inlineStr">
        <is>
          <t>2026-07-22</t>
        </is>
      </c>
      <c r="H15" s="123" t="inlineStr">
        <is>
          <t>Unit Test (JUnit 5 + Mockito)</t>
        </is>
      </c>
      <c r="I15" s="123" t="inlineStr">
        <is>
          <t>Pending</t>
        </is>
      </c>
      <c r="J15" s="123" t="inlineStr"/>
      <c r="K15" s="123" t="inlineStr"/>
      <c r="L15" s="123" t="inlineStr">
        <is>
          <t>Pending</t>
        </is>
      </c>
      <c r="M15" s="123" t="inlineStr"/>
      <c r="N15" s="123" t="inlineStr"/>
      <c r="O15" s="123" t="inlineStr"/>
      <c r="Q15" s="122" t="n"/>
    </row>
    <row r="16" ht="60" customHeight="1">
      <c r="A16" s="123" t="inlineStr">
        <is>
          <t>TC_CC_05</t>
        </is>
      </c>
      <c r="B16" s="123" t="inlineStr">
        <is>
          <t>Tao hop dong nhung bo trong Ngay lap hop dong</t>
        </is>
      </c>
      <c r="C16" s="123" t="inlineStr">
        <is>
          <t>1. Dat signedDate = null
2. Goi contractService.createContract(validContract, 1)</t>
        </is>
      </c>
      <c r="D16" s="123" t="inlineStr">
        <is>
          <t>Nem Exception chua message 'Ngay thang ky/bat dau/ket thuc khong duoc de trong'</t>
        </is>
      </c>
      <c r="E16" s="123" t="inlineStr">
        <is>
          <t>- validContract.signedDate = null
- Room va Facility mock binh thuong</t>
        </is>
      </c>
      <c r="F16" s="124" t="inlineStr">
        <is>
          <t>PASS</t>
        </is>
      </c>
      <c r="G16" s="123" t="inlineStr">
        <is>
          <t>2026-07-22</t>
        </is>
      </c>
      <c r="H16" s="123" t="inlineStr">
        <is>
          <t>Unit Test (JUnit 5 + Mockito)</t>
        </is>
      </c>
      <c r="I16" s="123" t="inlineStr">
        <is>
          <t>Pending</t>
        </is>
      </c>
      <c r="J16" s="123" t="inlineStr"/>
      <c r="K16" s="123" t="inlineStr"/>
      <c r="L16" s="123" t="inlineStr">
        <is>
          <t>Pending</t>
        </is>
      </c>
      <c r="M16" s="123" t="inlineStr"/>
      <c r="N16" s="123" t="inlineStr"/>
      <c r="O16" s="123" t="inlineStr"/>
      <c r="Q16" s="125" t="n"/>
    </row>
    <row r="17" ht="60" customHeight="1">
      <c r="A17" s="123" t="inlineStr">
        <is>
          <t>TC_CC_08</t>
        </is>
      </c>
      <c r="B17" s="123" t="inlineStr">
        <is>
          <t>Chon phong khong ton tai trong he thong</t>
        </is>
      </c>
      <c r="C17" s="123" t="inlineStr">
        <is>
          <t>1. roomDAO.findById(101) tra ve Optional.empty()
2. Goi createContract()</t>
        </is>
      </c>
      <c r="D17" s="123" t="inlineStr">
        <is>
          <t>Nem Exception chua message 'Phong khong ton tai'</t>
        </is>
      </c>
      <c r="E17" s="123" t="inlineStr">
        <is>
          <t>- roomDAO.findById(101) mock tra ve Optional.empty()</t>
        </is>
      </c>
      <c r="F17" s="124" t="inlineStr">
        <is>
          <t>PASS</t>
        </is>
      </c>
      <c r="G17" s="123" t="inlineStr">
        <is>
          <t>2026-07-22</t>
        </is>
      </c>
      <c r="H17" s="123" t="inlineStr">
        <is>
          <t>Unit Test (JUnit 5 + Mockito)</t>
        </is>
      </c>
      <c r="I17" s="123" t="inlineStr">
        <is>
          <t>Pending</t>
        </is>
      </c>
      <c r="J17" s="123" t="inlineStr"/>
      <c r="K17" s="123" t="inlineStr"/>
      <c r="L17" s="123" t="inlineStr">
        <is>
          <t>Pending</t>
        </is>
      </c>
      <c r="M17" s="123" t="inlineStr"/>
      <c r="N17" s="123" t="inlineStr"/>
      <c r="O17" s="123" t="inlineStr"/>
    </row>
    <row r="18" ht="60" customHeight="1">
      <c r="A18" s="123" t="inlineStr">
        <is>
          <t>TC_CC_09</t>
        </is>
      </c>
      <c r="B18" s="123" t="inlineStr">
        <is>
          <t>Chon phong thuoc co so ma Manager khong co quyen quan ly</t>
        </is>
      </c>
      <c r="C18" s="123" t="inlineStr">
        <is>
          <t>1. Dat facility.managerId = 2 (khac managerId=1)
2. Goi createContract(validContract, managerId=1)</t>
        </is>
      </c>
      <c r="D18" s="123" t="inlineStr">
        <is>
          <t>Nem Exception chua message 'Ban khong co quyen tao hop dong cho phong nay'</t>
        </is>
      </c>
      <c r="E18" s="123" t="inlineStr">
        <is>
          <t>- roomDAO.findById(101) tra ve validRoom
- roomDAO.findFacilityByRoomId(101) tra ve facility(managerId=2)</t>
        </is>
      </c>
      <c r="F18" s="124" t="inlineStr">
        <is>
          <t>PASS</t>
        </is>
      </c>
      <c r="G18" s="123" t="inlineStr">
        <is>
          <t>2026-07-22</t>
        </is>
      </c>
      <c r="H18" s="123" t="inlineStr">
        <is>
          <t>Unit Test (JUnit 5 + Mockito)</t>
        </is>
      </c>
      <c r="I18" s="123" t="inlineStr">
        <is>
          <t>Pending</t>
        </is>
      </c>
      <c r="J18" s="123" t="inlineStr"/>
      <c r="K18" s="123" t="inlineStr"/>
      <c r="L18" s="123" t="inlineStr">
        <is>
          <t>Pending</t>
        </is>
      </c>
      <c r="M18" s="123" t="inlineStr"/>
      <c r="N18" s="123" t="inlineStr"/>
      <c r="O18" s="123" t="inlineStr"/>
      <c r="Q18" s="122" t="n"/>
    </row>
    <row r="19" ht="60" customHeight="1">
      <c r="A19" s="123" t="inlineStr">
        <is>
          <t>TC_CC_10</t>
        </is>
      </c>
      <c r="B19" s="123" t="inlineStr">
        <is>
          <t>Chon phong dang co mot hop dong khac o trang thai ACTIVE</t>
        </is>
      </c>
      <c r="C19" s="123" t="inlineStr">
        <is>
          <t>1. contractDAO.findActiveContractByRoomId(101) tra ve Optional.of(contract)
2. Goi createContract()</t>
        </is>
      </c>
      <c r="D19" s="123" t="inlineStr">
        <is>
          <t>Nem Exception chua message 'Phong nay dang co hop dong ACTIVE'</t>
        </is>
      </c>
      <c r="E19" s="123" t="inlineStr">
        <is>
          <t>- Room va Facility mock binh thuong
- contractDAO.findActiveContractByRoomId tra ve hop dong ACTIVE khac</t>
        </is>
      </c>
      <c r="F19" s="124" t="inlineStr">
        <is>
          <t>PASS</t>
        </is>
      </c>
      <c r="G19" s="123" t="inlineStr">
        <is>
          <t>2026-07-22</t>
        </is>
      </c>
      <c r="H19" s="123" t="inlineStr">
        <is>
          <t>Unit Test (JUnit 5 + Mockito)</t>
        </is>
      </c>
      <c r="I19" s="123" t="inlineStr">
        <is>
          <t>Pending</t>
        </is>
      </c>
      <c r="J19" s="123" t="inlineStr"/>
      <c r="K19" s="123" t="inlineStr"/>
      <c r="L19" s="123" t="inlineStr">
        <is>
          <t>Pending</t>
        </is>
      </c>
      <c r="M19" s="123" t="inlineStr"/>
      <c r="N19" s="123" t="inlineStr"/>
      <c r="O19" s="123" t="inlineStr"/>
      <c r="Q19" s="125" t="n"/>
    </row>
    <row r="20" ht="60" customHeight="1">
      <c r="A20" s="123" t="inlineStr">
        <is>
          <t>TC-NEW-01</t>
        </is>
      </c>
      <c r="B20" s="123" t="inlineStr">
        <is>
          <t>Du lieu hop dong du cac field de in ban cung</t>
        </is>
      </c>
      <c r="C20" s="123" t="inlineStr">
        <is>
          <t>1. Gan day du cac field: amountInWords, tenantDob, address, phone
2. Mock contractDAO.findByIdAndManagerId(1,1) tra ve validContract
3. Mock roomDAO.findById(101) tra ve validRoom
4. Goi getContractDetail(1, 1)</t>
        </is>
      </c>
      <c r="D20" s="123" t="inlineStr">
        <is>
          <t>- result != null
- getTenantFullName() khong blank
- getTenantIdentityNumber() khong blank
- getTenantPermanentAddress() khong blank
- getSignedDate() != null, getStartDate() != null, getEndDate() != null
- getAmountInWords() khong blank
- getRoom().getCode() = 'P101'
- getSignedDay/Month/Year() khong blank
- getFormattedStartDate/EndDate() khong blank</t>
        </is>
      </c>
      <c r="E20" s="123" t="inlineStr">
        <is>
          <t>- contractDAO.findByIdAndManagerId(1,1) mock tra ve validContract
- roomDAO.findById(101) tra ve validRoom
- validContract co day du cac field in</t>
        </is>
      </c>
      <c r="F20" s="124" t="inlineStr">
        <is>
          <t>PASS</t>
        </is>
      </c>
      <c r="G20" s="123" t="inlineStr">
        <is>
          <t>2026-07-22</t>
        </is>
      </c>
      <c r="H20" s="123" t="inlineStr">
        <is>
          <t>Unit Test (JUnit 5 + Mockito)</t>
        </is>
      </c>
      <c r="I20" s="123" t="inlineStr">
        <is>
          <t>Pending</t>
        </is>
      </c>
      <c r="J20" s="123" t="inlineStr"/>
      <c r="K20" s="123" t="inlineStr"/>
      <c r="L20" s="123" t="inlineStr">
        <is>
          <t>Pending</t>
        </is>
      </c>
      <c r="M20" s="123" t="inlineStr"/>
      <c r="N20" s="123" t="inlineStr"/>
      <c r="O20" s="123" t="inlineStr"/>
    </row>
    <row r="21" ht="60" customHeight="1">
      <c r="A21" s="126" t="inlineStr">
        <is>
          <t>TC-NEW-05</t>
        </is>
      </c>
      <c r="B21" s="126" t="inlineStr">
        <is>
          <t>[TDD Signal] Ngay ket thuc truoc ngay bat dau - Edge Case</t>
        </is>
      </c>
      <c r="C21" s="126" t="inlineStr">
        <is>
          <t>1. Dat endDate = '2023-01-01' (truoc startDate '2024-03-01')
2. Goi createContract()</t>
        </is>
      </c>
      <c r="D21" s="126" t="inlineStr">
        <is>
          <t>Nem Exception (Service hien chua validate endDate &gt; startDate - day la TDD signal de them validation)</t>
        </is>
      </c>
      <c r="E21" s="126" t="inlineStr">
        <is>
          <t>- validContract.endDate = '2023-01-01'
- validContract.startDate = '2024-03-01'
- Room, Facility mock binh thuong, khong co HĐ ACTIVE</t>
        </is>
      </c>
      <c r="F21" s="127" t="inlineStr">
        <is>
          <t>EXPECTED FAIL</t>
        </is>
      </c>
      <c r="G21" s="126" t="inlineStr">
        <is>
          <t>2026-07-22</t>
        </is>
      </c>
      <c r="H21" s="126" t="inlineStr">
        <is>
          <t>Unit Test (JUnit 5 + Mockito)</t>
        </is>
      </c>
      <c r="I21" s="126" t="inlineStr">
        <is>
          <t>Pending</t>
        </is>
      </c>
      <c r="J21" s="126" t="inlineStr"/>
      <c r="K21" s="126" t="inlineStr"/>
      <c r="L21" s="126" t="inlineStr">
        <is>
          <t>Pending</t>
        </is>
      </c>
      <c r="M21" s="126" t="inlineStr"/>
      <c r="N21" s="126" t="inlineStr"/>
      <c r="O21" s="126" t="inlineStr"/>
    </row>
    <row r="22" ht="18" customHeight="1">
      <c r="A22" s="119" t="inlineStr">
        <is>
          <t>Nhom 2: Them Tenant Vao Hop Dong (addTenantFromContract)</t>
        </is>
      </c>
    </row>
    <row r="23" ht="60" customHeight="1">
      <c r="A23" s="123" t="inlineStr">
        <is>
          <t>TC-NEW-02</t>
        </is>
      </c>
      <c r="B23" s="123" t="inlineStr">
        <is>
          <t>Them Tenant nhung email sai dinh dang</t>
        </is>
      </c>
      <c r="C23" s="123" t="inlineStr">
        <is>
          <t>1. Goi addTenantFromContract(contractId=1, ..., email='not-an-email', ...)</t>
        </is>
      </c>
      <c r="D23" s="123" t="inlineStr">
        <is>
          <t>Nem IllegalArgumentException chua message 'Email khong dung dinh dang'</t>
        </is>
      </c>
      <c r="E23" s="123" t="inlineStr">
        <is>
          <t>- email = 'not-an-email' (khong co @)</t>
        </is>
      </c>
      <c r="F23" s="124" t="inlineStr">
        <is>
          <t>PASS</t>
        </is>
      </c>
      <c r="G23" s="123" t="inlineStr">
        <is>
          <t>2026-07-22</t>
        </is>
      </c>
      <c r="H23" s="123" t="inlineStr">
        <is>
          <t>Unit Test (JUnit 5 + Mockito)</t>
        </is>
      </c>
      <c r="I23" s="123" t="inlineStr">
        <is>
          <t>Pending</t>
        </is>
      </c>
      <c r="J23" s="123" t="inlineStr"/>
      <c r="K23" s="123" t="inlineStr"/>
      <c r="L23" s="123" t="inlineStr">
        <is>
          <t>Pending</t>
        </is>
      </c>
      <c r="M23" s="123" t="inlineStr"/>
      <c r="N23" s="123" t="inlineStr"/>
      <c r="O23" s="123" t="inlineStr"/>
    </row>
    <row r="24" ht="60" customHeight="1">
      <c r="A24" s="123" t="inlineStr">
        <is>
          <t>TC-NEW-03</t>
        </is>
      </c>
      <c r="B24" s="123" t="inlineStr">
        <is>
          <t>Them Tenant nhung Ho ten de trong</t>
        </is>
      </c>
      <c r="C24" s="123" t="inlineStr">
        <is>
          <t>1. Goi addTenantFromContract(contractId=1, ..., fullName='', ...)</t>
        </is>
      </c>
      <c r="D24" s="123" t="inlineStr">
        <is>
          <t>Nem IllegalArgumentException chua message 'Ho ten khong duoc de trong'</t>
        </is>
      </c>
      <c r="E24" s="123" t="inlineStr">
        <is>
          <t>- fullName = '' (rong)</t>
        </is>
      </c>
      <c r="F24" s="124" t="inlineStr">
        <is>
          <t>PASS</t>
        </is>
      </c>
      <c r="G24" s="123" t="inlineStr">
        <is>
          <t>2026-07-22</t>
        </is>
      </c>
      <c r="H24" s="123" t="inlineStr">
        <is>
          <t>Unit Test (JUnit 5 + Mockito)</t>
        </is>
      </c>
      <c r="I24" s="123" t="inlineStr">
        <is>
          <t>Pending</t>
        </is>
      </c>
      <c r="J24" s="123" t="inlineStr"/>
      <c r="K24" s="123" t="inlineStr"/>
      <c r="L24" s="123" t="inlineStr">
        <is>
          <t>Pending</t>
        </is>
      </c>
      <c r="M24" s="123" t="inlineStr"/>
      <c r="N24" s="123" t="inlineStr"/>
      <c r="O24" s="123" t="inlineStr"/>
    </row>
    <row r="25" ht="60" customHeight="1">
      <c r="A25" s="123" t="inlineStr">
        <is>
          <t>TC-NEW-04</t>
        </is>
      </c>
      <c r="B25" s="123" t="inlineStr">
        <is>
          <t>Them Tenant nhung so dien thoai khong hop le</t>
        </is>
      </c>
      <c r="C25" s="123" t="inlineStr">
        <is>
          <t>1. Goi addTenantFromContract(contractId=1, ..., phone='12345', ...)</t>
        </is>
      </c>
      <c r="D25" s="123" t="inlineStr">
        <is>
          <t>Nem IllegalArgumentException chua message 'So dien thoai khong hop le'</t>
        </is>
      </c>
      <c r="E25" s="123" t="inlineStr">
        <is>
          <t>- phone = '12345' (khong phai 10 so VN)</t>
        </is>
      </c>
      <c r="F25" s="124" t="inlineStr">
        <is>
          <t>PASS</t>
        </is>
      </c>
      <c r="G25" s="123" t="inlineStr">
        <is>
          <t>2026-07-22</t>
        </is>
      </c>
      <c r="H25" s="123" t="inlineStr">
        <is>
          <t>Unit Test (JUnit 5 + Mockito)</t>
        </is>
      </c>
      <c r="I25" s="123" t="inlineStr">
        <is>
          <t>Pending</t>
        </is>
      </c>
      <c r="J25" s="123" t="inlineStr"/>
      <c r="K25" s="123" t="inlineStr"/>
      <c r="L25" s="123" t="inlineStr">
        <is>
          <t>Pending</t>
        </is>
      </c>
      <c r="M25" s="123" t="inlineStr"/>
      <c r="N25" s="123" t="inlineStr"/>
      <c r="O25" s="123" t="inlineStr"/>
    </row>
    <row r="26" ht="60" customHeight="1">
      <c r="A26" s="123" t="inlineStr">
        <is>
          <t>TC-NEW-06</t>
        </is>
      </c>
      <c r="B26" s="123" t="inlineStr">
        <is>
          <t>getContractForAddTenant khi hop dong da co tenant_id</t>
        </is>
      </c>
      <c r="C26" s="123" t="inlineStr">
        <is>
          <t>1. Mock contractDAO.getContractForAddTenant(1,1) tra ve {tenantId: 5}
2. Goi contractService.getContractForAddTenant(1, 1)</t>
        </is>
      </c>
      <c r="D26" s="123" t="inlineStr">
        <is>
          <t>Nem IllegalStateException chua message 'Hop dong nay da co tai khoan nguoi thue lien ket'</t>
        </is>
      </c>
      <c r="E26" s="123" t="inlineStr">
        <is>
          <t>- contractDAO.getContractForAddTenant mock tra ve Map{tenantId=5}</t>
        </is>
      </c>
      <c r="F26" s="124" t="inlineStr">
        <is>
          <t>PASS</t>
        </is>
      </c>
      <c r="G26" s="123" t="inlineStr">
        <is>
          <t>2026-07-22</t>
        </is>
      </c>
      <c r="H26" s="123" t="inlineStr">
        <is>
          <t>Unit Test (JUnit 5 + Mockito)</t>
        </is>
      </c>
      <c r="I26" s="123" t="inlineStr">
        <is>
          <t>Pending</t>
        </is>
      </c>
      <c r="J26" s="123" t="inlineStr"/>
      <c r="K26" s="123" t="inlineStr"/>
      <c r="L26" s="123" t="inlineStr">
        <is>
          <t>Pending</t>
        </is>
      </c>
      <c r="M26" s="123" t="inlineStr"/>
      <c r="N26" s="123" t="inlineStr"/>
      <c r="O26" s="123" t="inlineStr"/>
    </row>
    <row r="27" ht="60" customHeight="1">
      <c r="A27" s="123" t="inlineStr">
        <is>
          <t>TC-NEW-07</t>
        </is>
      </c>
      <c r="B27" s="123" t="inlineStr">
        <is>
          <t>getContractForAddTenant khi hop dong chua co tenant</t>
        </is>
      </c>
      <c r="C27" s="123" t="inlineStr">
        <is>
          <t>1. Mock contractDAO.getContractForAddTenant(1,1) tra ve {tenantId: null}
2. Goi contractService.getContractForAddTenant(1, 1)</t>
        </is>
      </c>
      <c r="D27" s="123" t="inlineStr">
        <is>
          <t>- Tra ve Map khong null
- Map.get('contractId') = 1</t>
        </is>
      </c>
      <c r="E27" s="123" t="inlineStr">
        <is>
          <t>- contractDAO.getContractForAddTenant mock tra ve Map{tenantId=null}</t>
        </is>
      </c>
      <c r="F27" s="124" t="inlineStr">
        <is>
          <t>PASS</t>
        </is>
      </c>
      <c r="G27" s="123" t="inlineStr">
        <is>
          <t>2026-07-22</t>
        </is>
      </c>
      <c r="H27" s="123" t="inlineStr">
        <is>
          <t>Unit Test (JUnit 5 + Mockito)</t>
        </is>
      </c>
      <c r="I27" s="123" t="inlineStr">
        <is>
          <t>Pending</t>
        </is>
      </c>
      <c r="J27" s="123" t="inlineStr"/>
      <c r="K27" s="123" t="inlineStr"/>
      <c r="L27" s="123" t="inlineStr">
        <is>
          <t>Pending</t>
        </is>
      </c>
      <c r="M27" s="123" t="inlineStr"/>
      <c r="N27" s="123" t="inlineStr"/>
      <c r="O27" s="123" t="inlineStr"/>
    </row>
  </sheetData>
  <mergeCells count="5">
    <mergeCell ref="B4:E4"/>
    <mergeCell ref="A11:O11"/>
    <mergeCell ref="B3:E3"/>
    <mergeCell ref="B2:E2"/>
    <mergeCell ref="A22:O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8" customWidth="1" min="5" max="5"/>
    <col width="12" customWidth="1" min="6" max="6"/>
    <col width="14" customWidth="1" min="7" max="7"/>
    <col width="22" customWidth="1" min="8" max="8"/>
    <col width="12" customWidth="1" min="9" max="9"/>
    <col width="14" customWidth="1" min="10" max="10"/>
    <col width="22" customWidth="1" min="11" max="11"/>
    <col width="12" customWidth="1" min="12" max="12"/>
    <col width="14" customWidth="1" min="13" max="13"/>
    <col width="22" customWidth="1" min="14" max="14"/>
    <col width="24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13.15" customHeight="1"/>
    <row r="2" ht="15" customHeight="1">
      <c r="A2" s="92" t="inlineStr">
        <is>
          <t>Workflow</t>
        </is>
      </c>
      <c r="B2" s="93" t="inlineStr">
        <is>
          <t>US2 – Xem Chi Tiet Hop Dong (Tenant &amp; Manager)</t>
        </is>
      </c>
      <c r="C2" s="94" t="n"/>
      <c r="D2" s="94" t="n"/>
      <c r="E2" s="95" t="n"/>
      <c r="F2" s="96" t="n"/>
      <c r="G2" s="97" t="n"/>
      <c r="H2" s="98" t="n"/>
      <c r="I2" s="96" t="n"/>
      <c r="J2" s="97" t="n"/>
      <c r="K2" s="98" t="n"/>
      <c r="L2" s="96" t="n"/>
      <c r="M2" s="97" t="n"/>
      <c r="N2" s="98" t="n"/>
      <c r="O2" s="98" t="n"/>
      <c r="P2" s="98" t="n"/>
      <c r="Q2" s="99" t="n"/>
      <c r="R2" s="100" t="inlineStr">
        <is>
          <t>Passed</t>
        </is>
      </c>
    </row>
    <row r="3">
      <c r="A3" s="101" t="inlineStr">
        <is>
          <t>Test requirement</t>
        </is>
      </c>
      <c r="B3" s="102" t="inlineStr">
        <is>
          <t>FR-002: Test suite phai xac minh co che phan quyen: Tenant chi xem hop dong cua minh, Manager chi xem hop dong thuoc co so quan ly.</t>
        </is>
      </c>
      <c r="C3" s="103" t="n"/>
      <c r="D3" s="103" t="n"/>
      <c r="E3" s="104" t="n"/>
      <c r="F3" s="96" t="n"/>
      <c r="G3" s="97" t="n"/>
      <c r="H3" s="98" t="n"/>
      <c r="I3" s="96" t="n"/>
      <c r="J3" s="97" t="n"/>
      <c r="K3" s="98" t="n"/>
      <c r="L3" s="96" t="n"/>
      <c r="M3" s="97" t="n"/>
      <c r="N3" s="98" t="n"/>
      <c r="O3" s="98" t="n"/>
      <c r="P3" s="98" t="n"/>
      <c r="Q3" s="99" t="n"/>
      <c r="R3" s="100" t="inlineStr">
        <is>
          <t>Failed</t>
        </is>
      </c>
    </row>
    <row r="4" ht="18" customHeight="1">
      <c r="A4" s="101" t="inlineStr">
        <is>
          <t>Number of TCs</t>
        </is>
      </c>
      <c r="B4" s="102">
        <f>COUNTA(A12:A1000)</f>
        <v/>
      </c>
      <c r="C4" s="103" t="n"/>
      <c r="D4" s="103" t="n"/>
      <c r="E4" s="104" t="n"/>
      <c r="F4" s="96" t="n"/>
      <c r="G4" s="97" t="n"/>
      <c r="H4" s="98" t="n"/>
      <c r="I4" s="96" t="n"/>
      <c r="J4" s="97" t="n"/>
      <c r="K4" s="98" t="n"/>
      <c r="L4" s="96" t="n"/>
      <c r="M4" s="97" t="n"/>
      <c r="N4" s="98" t="n"/>
      <c r="O4" s="98" t="n"/>
      <c r="P4" s="98" t="n"/>
      <c r="Q4" s="99" t="n"/>
      <c r="R4" s="100" t="inlineStr">
        <is>
          <t>Pending</t>
        </is>
      </c>
    </row>
    <row r="5" ht="19.5" customHeight="1">
      <c r="A5" s="105" t="inlineStr">
        <is>
          <t>Testing Round</t>
        </is>
      </c>
      <c r="B5" s="106" t="inlineStr">
        <is>
          <t>Passed</t>
        </is>
      </c>
      <c r="C5" s="106" t="inlineStr">
        <is>
          <t>Failed</t>
        </is>
      </c>
      <c r="D5" s="106" t="inlineStr">
        <is>
          <t>Pending</t>
        </is>
      </c>
      <c r="E5" s="107" t="inlineStr">
        <is>
          <t>N/A</t>
        </is>
      </c>
      <c r="F5" s="108" t="n"/>
      <c r="G5" s="108" t="n"/>
      <c r="H5" s="109" t="n"/>
      <c r="I5" s="108" t="n"/>
      <c r="J5" s="108" t="n"/>
      <c r="K5" s="109" t="n"/>
      <c r="L5" s="108" t="n"/>
      <c r="M5" s="108" t="n"/>
      <c r="N5" s="109" t="n"/>
      <c r="O5" s="109" t="n"/>
      <c r="P5" s="109" t="n"/>
      <c r="Q5" s="110" t="n"/>
      <c r="R5" s="100" t="inlineStr">
        <is>
          <t>N/A</t>
        </is>
      </c>
    </row>
    <row r="6" ht="15" customHeight="1">
      <c r="A6" s="105" t="inlineStr">
        <is>
          <t>Round 1</t>
        </is>
      </c>
      <c r="B6" s="111">
        <f>COUNTIF($F10:$F998,B5)</f>
        <v/>
      </c>
      <c r="C6" s="111">
        <f>COUNTIF($F10:$F998,C5)</f>
        <v/>
      </c>
      <c r="D6" s="111">
        <f>COUNTIF($F10:$F998,D5)</f>
        <v/>
      </c>
      <c r="E6" s="112">
        <f>COUNTIF($F10:$F998,E5)</f>
        <v/>
      </c>
      <c r="F6" s="113" t="n"/>
      <c r="G6" s="113" t="n"/>
      <c r="H6" s="109" t="n"/>
      <c r="I6" s="113" t="n"/>
      <c r="J6" s="113" t="n"/>
      <c r="K6" s="109" t="n"/>
      <c r="L6" s="113" t="n"/>
      <c r="M6" s="113" t="n"/>
      <c r="N6" s="109" t="n"/>
      <c r="O6" s="109" t="n"/>
      <c r="P6" s="109" t="n"/>
      <c r="Q6" s="110" t="n"/>
    </row>
    <row r="7" ht="15" customHeight="1">
      <c r="A7" s="105" t="inlineStr">
        <is>
          <t>Round 2</t>
        </is>
      </c>
      <c r="B7" s="111">
        <f>COUNTIF($F10:$F998,B5)</f>
        <v/>
      </c>
      <c r="C7" s="111">
        <f>COUNTIF($F10:$F998,C5)</f>
        <v/>
      </c>
      <c r="D7" s="111">
        <f>COUNTIF($F10:$F998,D5)</f>
        <v/>
      </c>
      <c r="E7" s="112">
        <f>COUNTIF($F10:$F998,E5)</f>
        <v/>
      </c>
      <c r="F7" s="113" t="n"/>
      <c r="G7" s="113" t="n"/>
      <c r="H7" s="109" t="n"/>
      <c r="I7" s="113" t="n"/>
      <c r="J7" s="113" t="n"/>
      <c r="K7" s="109" t="n"/>
      <c r="L7" s="113" t="n"/>
      <c r="M7" s="113" t="n"/>
      <c r="N7" s="109" t="n"/>
      <c r="O7" s="109" t="n"/>
      <c r="P7" s="109" t="n"/>
      <c r="Q7" s="110" t="n"/>
    </row>
    <row r="8" ht="15" customHeight="1">
      <c r="A8" s="114" t="inlineStr">
        <is>
          <t>Round 3</t>
        </is>
      </c>
      <c r="B8" s="115">
        <f>COUNTIF($F10:$F998,B5)</f>
        <v/>
      </c>
      <c r="C8" s="115">
        <f>COUNTIF($F10:$F998,C5)</f>
        <v/>
      </c>
      <c r="D8" s="115">
        <f>COUNTIF($F10:$F998,D5)</f>
        <v/>
      </c>
      <c r="E8" s="116">
        <f>COUNTIF($F10:$F998,E5)</f>
        <v/>
      </c>
      <c r="F8" s="113" t="n"/>
      <c r="G8" s="113" t="n"/>
      <c r="H8" s="109" t="n"/>
      <c r="I8" s="113" t="n"/>
      <c r="J8" s="113" t="n"/>
      <c r="K8" s="109" t="n"/>
      <c r="L8" s="113" t="n"/>
      <c r="M8" s="113" t="n"/>
      <c r="N8" s="109" t="n"/>
      <c r="O8" s="109" t="n"/>
      <c r="P8" s="109" t="n"/>
      <c r="Q8" s="110" t="n"/>
    </row>
    <row r="9" ht="15" customHeight="1">
      <c r="A9" s="109" t="n"/>
      <c r="B9" s="109" t="n"/>
      <c r="C9" s="109" t="n"/>
      <c r="D9" s="109" t="n"/>
      <c r="E9" s="109" t="n"/>
      <c r="F9" s="91" t="n"/>
      <c r="G9" s="109" t="n"/>
      <c r="H9" s="109" t="n"/>
      <c r="I9" s="91" t="n"/>
      <c r="J9" s="109" t="n"/>
      <c r="K9" s="109" t="n"/>
      <c r="L9" s="91" t="n"/>
      <c r="M9" s="109" t="n"/>
      <c r="N9" s="109" t="n"/>
      <c r="O9" s="109" t="n"/>
      <c r="P9" s="109" t="n"/>
      <c r="Q9" s="110" t="n"/>
    </row>
    <row r="10" ht="25.5" customHeight="1">
      <c r="A10" s="117" t="inlineStr">
        <is>
          <t>Test Case ID</t>
        </is>
      </c>
      <c r="B10" s="117" t="inlineStr">
        <is>
          <t>Test Case Description</t>
        </is>
      </c>
      <c r="C10" s="117" t="inlineStr">
        <is>
          <t>Test Case Procedure</t>
        </is>
      </c>
      <c r="D10" s="117" t="inlineStr">
        <is>
          <t>Expected Results</t>
        </is>
      </c>
      <c r="E10" s="117" t="inlineStr">
        <is>
          <t>Pre-conditions</t>
        </is>
      </c>
      <c r="F10" s="117" t="inlineStr">
        <is>
          <t>Round 1</t>
        </is>
      </c>
      <c r="G10" s="117" t="inlineStr">
        <is>
          <t>Test date</t>
        </is>
      </c>
      <c r="H10" s="117" t="inlineStr">
        <is>
          <t>Tester</t>
        </is>
      </c>
      <c r="I10" s="117" t="inlineStr">
        <is>
          <t>Round 2</t>
        </is>
      </c>
      <c r="J10" s="117" t="inlineStr">
        <is>
          <t>Test date</t>
        </is>
      </c>
      <c r="K10" s="117" t="inlineStr">
        <is>
          <t>Tester</t>
        </is>
      </c>
      <c r="L10" s="117" t="inlineStr">
        <is>
          <t>Round 3</t>
        </is>
      </c>
      <c r="M10" s="117" t="inlineStr">
        <is>
          <t>Test date</t>
        </is>
      </c>
      <c r="N10" s="117" t="inlineStr">
        <is>
          <t>Tester</t>
        </is>
      </c>
      <c r="O10" s="117" t="inlineStr">
        <is>
          <t>Note</t>
        </is>
      </c>
      <c r="Q10" s="118" t="n"/>
    </row>
    <row r="11" ht="18" customHeight="1">
      <c r="A11" s="119" t="inlineStr">
        <is>
          <t>Nhom 1: Tenant Xem Hop Dong</t>
        </is>
      </c>
      <c r="B11" s="120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1" t="n"/>
      <c r="Q11" s="122" t="n"/>
    </row>
    <row r="12" ht="60" customHeight="1">
      <c r="A12" s="123" t="inlineStr">
        <is>
          <t>T008</t>
        </is>
      </c>
      <c r="B12" s="123" t="inlineStr">
        <is>
          <t>Tenant xem hop dong cua chinh minh - Success</t>
        </is>
      </c>
      <c r="C12" s="123" t="inlineStr">
        <is>
          <t>1. Mock contractDAO.findByIdAndTenantId(1, 5) tra ve validContract
2. Mock roomDAO.findById(101) tra ve validRoom
3. Goi getContractDetailForTenant(contractId=1, tenantId=5)</t>
        </is>
      </c>
      <c r="D12" s="123" t="inlineStr">
        <is>
          <t>- result != null
- result.getRoom() != null
- result.getRoom().getCode() = 'P101'</t>
        </is>
      </c>
      <c r="E12" s="123" t="inlineStr">
        <is>
          <t>- Tenant co tenantId=5 la chu so huu hop dong id=1</t>
        </is>
      </c>
      <c r="F12" s="124" t="inlineStr">
        <is>
          <t>PASS</t>
        </is>
      </c>
      <c r="G12" s="123" t="inlineStr">
        <is>
          <t>2026-07-22</t>
        </is>
      </c>
      <c r="H12" s="123" t="inlineStr">
        <is>
          <t>Unit Test (JUnit 5 + Mockito)</t>
        </is>
      </c>
      <c r="I12" s="123" t="inlineStr">
        <is>
          <t>Pending</t>
        </is>
      </c>
      <c r="J12" s="123" t="inlineStr"/>
      <c r="K12" s="123" t="inlineStr"/>
      <c r="L12" s="123" t="inlineStr">
        <is>
          <t>Pending</t>
        </is>
      </c>
      <c r="M12" s="123" t="inlineStr"/>
      <c r="N12" s="123" t="inlineStr"/>
      <c r="O12" s="123" t="inlineStr"/>
      <c r="Q12" s="125" t="n"/>
    </row>
    <row r="13" ht="60" customHeight="1">
      <c r="A13" s="123" t="inlineStr">
        <is>
          <t>T009</t>
        </is>
      </c>
      <c r="B13" s="123" t="inlineStr">
        <is>
          <t>Tenant co xem hop dong cua nguoi khac - Access Denied</t>
        </is>
      </c>
      <c r="C13" s="123" t="inlineStr">
        <is>
          <t>1. Mock contractDAO.findByIdAndTenantId(1, 99) tra ve Optional.empty()
2. Goi getContractDetailForTenant(contractId=1, tenantId=99)</t>
        </is>
      </c>
      <c r="D13" s="123" t="inlineStr">
        <is>
          <t>Tra ve null (Tenant khong phai chu so huu, bi tu choi truy cap)</t>
        </is>
      </c>
      <c r="E13" s="123" t="inlineStr">
        <is>
          <t>- tenantId=99 khong phai chu hop dong id=1</t>
        </is>
      </c>
      <c r="F13" s="124" t="inlineStr">
        <is>
          <t>PASS</t>
        </is>
      </c>
      <c r="G13" s="123" t="inlineStr">
        <is>
          <t>2026-07-22</t>
        </is>
      </c>
      <c r="H13" s="123" t="inlineStr">
        <is>
          <t>Unit Test (JUnit 5 + Mockito)</t>
        </is>
      </c>
      <c r="I13" s="123" t="inlineStr">
        <is>
          <t>Pending</t>
        </is>
      </c>
      <c r="J13" s="123" t="inlineStr"/>
      <c r="K13" s="123" t="inlineStr"/>
      <c r="L13" s="123" t="inlineStr">
        <is>
          <t>Pending</t>
        </is>
      </c>
      <c r="M13" s="123" t="inlineStr"/>
      <c r="N13" s="123" t="inlineStr"/>
      <c r="O13" s="123" t="inlineStr"/>
      <c r="Q13" s="125" t="n"/>
    </row>
    <row r="14" ht="18" customHeight="1">
      <c r="A14" s="119" t="inlineStr">
        <is>
          <t>Nhom 2: Manager Xem Hop Dong</t>
        </is>
      </c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9" t="n"/>
      <c r="Q14" s="125" t="n"/>
    </row>
    <row r="15" ht="60" customHeight="1">
      <c r="A15" s="123" t="inlineStr">
        <is>
          <t>T010</t>
        </is>
      </c>
      <c r="B15" s="123" t="inlineStr">
        <is>
          <t>Manager xem hop dong trong co so minh quan ly - Success</t>
        </is>
      </c>
      <c r="C15" s="123" t="inlineStr">
        <is>
          <t>1. Mock contractDAO.findByIdAndManagerId(1, 1) tra ve validContract
2. Mock roomDAO.findById(101) tra ve validRoom
3. Goi getContractDetail(contractId=1, managerId=1)</t>
        </is>
      </c>
      <c r="D15" s="123" t="inlineStr">
        <is>
          <t>- result != null
- result.getRoom() != null</t>
        </is>
      </c>
      <c r="E15" s="123" t="inlineStr">
        <is>
          <t>- managerId=1 co quyen xem hop dong thuoc co so minh</t>
        </is>
      </c>
      <c r="F15" s="124" t="inlineStr">
        <is>
          <t>PASS</t>
        </is>
      </c>
      <c r="G15" s="123" t="inlineStr">
        <is>
          <t>2026-07-22</t>
        </is>
      </c>
      <c r="H15" s="123" t="inlineStr">
        <is>
          <t>Unit Test (JUnit 5 + Mockito)</t>
        </is>
      </c>
      <c r="I15" s="123" t="inlineStr">
        <is>
          <t>Pending</t>
        </is>
      </c>
      <c r="J15" s="123" t="inlineStr"/>
      <c r="K15" s="123" t="inlineStr"/>
      <c r="L15" s="123" t="inlineStr">
        <is>
          <t>Pending</t>
        </is>
      </c>
      <c r="M15" s="123" t="inlineStr"/>
      <c r="N15" s="123" t="inlineStr"/>
      <c r="O15" s="123" t="inlineStr"/>
      <c r="Q15" s="122" t="n"/>
    </row>
    <row r="16" ht="60" customHeight="1">
      <c r="A16" s="123" t="inlineStr">
        <is>
          <t>T011</t>
        </is>
      </c>
      <c r="B16" s="123" t="inlineStr">
        <is>
          <t>Manager xem hop dong ngoai co so minh quan ly - Access Denied</t>
        </is>
      </c>
      <c r="C16" s="123" t="inlineStr">
        <is>
          <t>1. Mock contractDAO.findByIdAndManagerId(1, 2) tra ve Optional.empty()
2. Goi getContractDetail(contractId=1, managerId=2)</t>
        </is>
      </c>
      <c r="D16" s="123" t="inlineStr">
        <is>
          <t>Tra ve null (Manager khong co quyen xem hop dong co so khac)</t>
        </is>
      </c>
      <c r="E16" s="123" t="inlineStr">
        <is>
          <t>- managerId=2 khong co quyen xem hop dong id=1</t>
        </is>
      </c>
      <c r="F16" s="124" t="inlineStr">
        <is>
          <t>PASS</t>
        </is>
      </c>
      <c r="G16" s="123" t="inlineStr">
        <is>
          <t>2026-07-22</t>
        </is>
      </c>
      <c r="H16" s="123" t="inlineStr">
        <is>
          <t>Unit Test (JUnit 5 + Mockito)</t>
        </is>
      </c>
      <c r="I16" s="123" t="inlineStr">
        <is>
          <t>Pending</t>
        </is>
      </c>
      <c r="J16" s="123" t="inlineStr"/>
      <c r="K16" s="123" t="inlineStr"/>
      <c r="L16" s="123" t="inlineStr">
        <is>
          <t>Pending</t>
        </is>
      </c>
      <c r="M16" s="123" t="inlineStr"/>
      <c r="N16" s="123" t="inlineStr"/>
      <c r="O16" s="123" t="inlineStr"/>
      <c r="Q16" s="125" t="n"/>
    </row>
    <row r="17">
      <c r="A17" s="130" t="n"/>
      <c r="B17" s="130" t="n"/>
      <c r="C17" s="130" t="n"/>
      <c r="D17" s="130" t="n"/>
      <c r="E17" s="130" t="n"/>
      <c r="F17" s="130" t="n"/>
      <c r="G17" s="131" t="n"/>
      <c r="H17" s="131" t="n"/>
      <c r="I17" s="130" t="n"/>
      <c r="J17" s="131" t="n"/>
      <c r="K17" s="131" t="n"/>
      <c r="L17" s="130" t="n"/>
      <c r="M17" s="131" t="n"/>
      <c r="N17" s="131" t="n"/>
      <c r="O17" s="131" t="n"/>
    </row>
    <row r="18" ht="15.75" customHeight="1">
      <c r="A18" s="132" t="n"/>
      <c r="B18" s="133" t="n"/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4" t="n"/>
      <c r="M18" s="134" t="n"/>
      <c r="N18" s="134" t="n"/>
      <c r="O18" s="135" t="n"/>
      <c r="Q18" s="122" t="n"/>
    </row>
    <row r="19">
      <c r="A19" s="130" t="n"/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30" t="n"/>
      <c r="L19" s="130" t="n"/>
      <c r="M19" s="130" t="n"/>
      <c r="N19" s="130" t="n"/>
      <c r="O19" s="130" t="n"/>
      <c r="Q19" s="125" t="n"/>
    </row>
  </sheetData>
  <mergeCells count="5">
    <mergeCell ref="B4:E4"/>
    <mergeCell ref="A11:O11"/>
    <mergeCell ref="A14:O14"/>
    <mergeCell ref="B3:E3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4" customWidth="1" min="4" max="4"/>
    <col width="38" customWidth="1" min="5" max="5"/>
    <col width="12" customWidth="1" min="6" max="6"/>
    <col width="14" customWidth="1" min="7" max="7"/>
    <col width="22" customWidth="1" min="8" max="8"/>
    <col width="12" customWidth="1" min="9" max="9"/>
    <col width="14" customWidth="1" min="10" max="10"/>
    <col width="22" customWidth="1" min="11" max="11"/>
    <col width="12" customWidth="1" min="12" max="12"/>
    <col width="14" customWidth="1" min="13" max="13"/>
    <col width="22" customWidth="1" min="14" max="14"/>
    <col width="24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13.15" customHeight="1"/>
    <row r="2" ht="15" customHeight="1">
      <c r="A2" s="92" t="inlineStr">
        <is>
          <t>Workflow</t>
        </is>
      </c>
      <c r="B2" s="93" t="inlineStr">
        <is>
          <t>US4 – Quan Ly Trang Thai va Xoa Hop Dong (Manager)</t>
        </is>
      </c>
      <c r="C2" s="94" t="n"/>
      <c r="D2" s="94" t="n"/>
      <c r="E2" s="95" t="n"/>
      <c r="F2" s="96" t="n"/>
      <c r="G2" s="97" t="n"/>
      <c r="H2" s="98" t="n"/>
      <c r="I2" s="96" t="n"/>
      <c r="J2" s="97" t="n"/>
      <c r="K2" s="98" t="n"/>
      <c r="L2" s="96" t="n"/>
      <c r="M2" s="97" t="n"/>
      <c r="N2" s="98" t="n"/>
      <c r="O2" s="98" t="n"/>
      <c r="P2" s="98" t="n"/>
      <c r="Q2" s="99" t="n"/>
      <c r="R2" s="100" t="inlineStr">
        <is>
          <t>Passed</t>
        </is>
      </c>
    </row>
    <row r="3">
      <c r="A3" s="101" t="inlineStr">
        <is>
          <t>Test requirement</t>
        </is>
      </c>
      <c r="B3" s="102" t="inlineStr">
        <is>
          <t>FR-004: Test suite phai kiem tra luong xoa hop dong (chi cho phep khi INACTIVE). FR-005: Xac minh AuditLog (ghi o tang Servlet, khong test o Service).</t>
        </is>
      </c>
      <c r="C3" s="103" t="n"/>
      <c r="D3" s="103" t="n"/>
      <c r="E3" s="104" t="n"/>
      <c r="F3" s="96" t="n"/>
      <c r="G3" s="97" t="n"/>
      <c r="H3" s="98" t="n"/>
      <c r="I3" s="96" t="n"/>
      <c r="J3" s="97" t="n"/>
      <c r="K3" s="98" t="n"/>
      <c r="L3" s="96" t="n"/>
      <c r="M3" s="97" t="n"/>
      <c r="N3" s="98" t="n"/>
      <c r="O3" s="98" t="n"/>
      <c r="P3" s="98" t="n"/>
      <c r="Q3" s="99" t="n"/>
      <c r="R3" s="100" t="inlineStr">
        <is>
          <t>Failed</t>
        </is>
      </c>
    </row>
    <row r="4" ht="18" customHeight="1">
      <c r="A4" s="101" t="inlineStr">
        <is>
          <t>Number of TCs</t>
        </is>
      </c>
      <c r="B4" s="102">
        <f>COUNTA(A12:A1000)</f>
        <v/>
      </c>
      <c r="C4" s="103" t="n"/>
      <c r="D4" s="103" t="n"/>
      <c r="E4" s="104" t="n"/>
      <c r="F4" s="96" t="n"/>
      <c r="G4" s="97" t="n"/>
      <c r="H4" s="98" t="n"/>
      <c r="I4" s="96" t="n"/>
      <c r="J4" s="97" t="n"/>
      <c r="K4" s="98" t="n"/>
      <c r="L4" s="96" t="n"/>
      <c r="M4" s="97" t="n"/>
      <c r="N4" s="98" t="n"/>
      <c r="O4" s="98" t="n"/>
      <c r="P4" s="98" t="n"/>
      <c r="Q4" s="99" t="n"/>
      <c r="R4" s="100" t="inlineStr">
        <is>
          <t>Pending</t>
        </is>
      </c>
    </row>
    <row r="5" ht="19.5" customHeight="1">
      <c r="A5" s="105" t="inlineStr">
        <is>
          <t>Testing Round</t>
        </is>
      </c>
      <c r="B5" s="106" t="inlineStr">
        <is>
          <t>Passed</t>
        </is>
      </c>
      <c r="C5" s="106" t="inlineStr">
        <is>
          <t>Failed</t>
        </is>
      </c>
      <c r="D5" s="106" t="inlineStr">
        <is>
          <t>Pending</t>
        </is>
      </c>
      <c r="E5" s="107" t="inlineStr">
        <is>
          <t>N/A</t>
        </is>
      </c>
      <c r="F5" s="108" t="n"/>
      <c r="G5" s="108" t="n"/>
      <c r="H5" s="109" t="n"/>
      <c r="I5" s="108" t="n"/>
      <c r="J5" s="108" t="n"/>
      <c r="K5" s="109" t="n"/>
      <c r="L5" s="108" t="n"/>
      <c r="M5" s="108" t="n"/>
      <c r="N5" s="109" t="n"/>
      <c r="O5" s="109" t="n"/>
      <c r="P5" s="109" t="n"/>
      <c r="Q5" s="110" t="n"/>
      <c r="R5" s="100" t="inlineStr">
        <is>
          <t>N/A</t>
        </is>
      </c>
    </row>
    <row r="6" ht="15" customHeight="1">
      <c r="A6" s="105" t="inlineStr">
        <is>
          <t>Round 1</t>
        </is>
      </c>
      <c r="B6" s="111">
        <f>COUNTIF($F10:$F998,B5)</f>
        <v/>
      </c>
      <c r="C6" s="111">
        <f>COUNTIF($F10:$F998,C5)</f>
        <v/>
      </c>
      <c r="D6" s="111">
        <f>COUNTIF($F10:$F998,D5)</f>
        <v/>
      </c>
      <c r="E6" s="112">
        <f>COUNTIF($F10:$F998,E5)</f>
        <v/>
      </c>
      <c r="F6" s="113" t="n"/>
      <c r="G6" s="113" t="n"/>
      <c r="H6" s="109" t="n"/>
      <c r="I6" s="113" t="n"/>
      <c r="J6" s="113" t="n"/>
      <c r="K6" s="109" t="n"/>
      <c r="L6" s="113" t="n"/>
      <c r="M6" s="113" t="n"/>
      <c r="N6" s="109" t="n"/>
      <c r="O6" s="109" t="n"/>
      <c r="P6" s="109" t="n"/>
      <c r="Q6" s="110" t="n"/>
    </row>
    <row r="7" ht="15" customHeight="1">
      <c r="A7" s="105" t="inlineStr">
        <is>
          <t>Round 2</t>
        </is>
      </c>
      <c r="B7" s="111">
        <f>COUNTIF($F10:$F998,B5)</f>
        <v/>
      </c>
      <c r="C7" s="111">
        <f>COUNTIF($F10:$F998,C5)</f>
        <v/>
      </c>
      <c r="D7" s="111">
        <f>COUNTIF($F10:$F998,D5)</f>
        <v/>
      </c>
      <c r="E7" s="112">
        <f>COUNTIF($F10:$F998,E5)</f>
        <v/>
      </c>
      <c r="F7" s="113" t="n"/>
      <c r="G7" s="113" t="n"/>
      <c r="H7" s="109" t="n"/>
      <c r="I7" s="113" t="n"/>
      <c r="J7" s="113" t="n"/>
      <c r="K7" s="109" t="n"/>
      <c r="L7" s="113" t="n"/>
      <c r="M7" s="113" t="n"/>
      <c r="N7" s="109" t="n"/>
      <c r="O7" s="109" t="n"/>
      <c r="P7" s="109" t="n"/>
      <c r="Q7" s="110" t="n"/>
    </row>
    <row r="8" ht="15" customHeight="1">
      <c r="A8" s="114" t="inlineStr">
        <is>
          <t>Round 3</t>
        </is>
      </c>
      <c r="B8" s="115">
        <f>COUNTIF($F10:$F998,B5)</f>
        <v/>
      </c>
      <c r="C8" s="115">
        <f>COUNTIF($F10:$F998,C5)</f>
        <v/>
      </c>
      <c r="D8" s="115">
        <f>COUNTIF($F10:$F998,D5)</f>
        <v/>
      </c>
      <c r="E8" s="116">
        <f>COUNTIF($F10:$F998,E5)</f>
        <v/>
      </c>
      <c r="F8" s="113" t="n"/>
      <c r="G8" s="113" t="n"/>
      <c r="H8" s="109" t="n"/>
      <c r="I8" s="113" t="n"/>
      <c r="J8" s="113" t="n"/>
      <c r="K8" s="109" t="n"/>
      <c r="L8" s="113" t="n"/>
      <c r="M8" s="113" t="n"/>
      <c r="N8" s="109" t="n"/>
      <c r="O8" s="109" t="n"/>
      <c r="P8" s="109" t="n"/>
      <c r="Q8" s="110" t="n"/>
    </row>
    <row r="9" ht="15" customHeight="1">
      <c r="A9" s="109" t="n"/>
      <c r="B9" s="109" t="n"/>
      <c r="C9" s="109" t="n"/>
      <c r="D9" s="109" t="n"/>
      <c r="E9" s="109" t="n"/>
      <c r="F9" s="91" t="n"/>
      <c r="G9" s="109" t="n"/>
      <c r="H9" s="109" t="n"/>
      <c r="I9" s="91" t="n"/>
      <c r="J9" s="109" t="n"/>
      <c r="K9" s="109" t="n"/>
      <c r="L9" s="91" t="n"/>
      <c r="M9" s="109" t="n"/>
      <c r="N9" s="109" t="n"/>
      <c r="O9" s="109" t="n"/>
      <c r="P9" s="109" t="n"/>
      <c r="Q9" s="110" t="n"/>
    </row>
    <row r="10" ht="25.5" customHeight="1">
      <c r="A10" s="117" t="inlineStr">
        <is>
          <t>Test Case ID</t>
        </is>
      </c>
      <c r="B10" s="117" t="inlineStr">
        <is>
          <t>Test Case Description</t>
        </is>
      </c>
      <c r="C10" s="117" t="inlineStr">
        <is>
          <t>Test Case Procedure</t>
        </is>
      </c>
      <c r="D10" s="117" t="inlineStr">
        <is>
          <t>Expected Results</t>
        </is>
      </c>
      <c r="E10" s="117" t="inlineStr">
        <is>
          <t>Pre-conditions</t>
        </is>
      </c>
      <c r="F10" s="117" t="inlineStr">
        <is>
          <t>Round 1</t>
        </is>
      </c>
      <c r="G10" s="117" t="inlineStr">
        <is>
          <t>Test date</t>
        </is>
      </c>
      <c r="H10" s="117" t="inlineStr">
        <is>
          <t>Tester</t>
        </is>
      </c>
      <c r="I10" s="117" t="inlineStr">
        <is>
          <t>Round 2</t>
        </is>
      </c>
      <c r="J10" s="117" t="inlineStr">
        <is>
          <t>Test date</t>
        </is>
      </c>
      <c r="K10" s="117" t="inlineStr">
        <is>
          <t>Tester</t>
        </is>
      </c>
      <c r="L10" s="117" t="inlineStr">
        <is>
          <t>Round 3</t>
        </is>
      </c>
      <c r="M10" s="117" t="inlineStr">
        <is>
          <t>Test date</t>
        </is>
      </c>
      <c r="N10" s="117" t="inlineStr">
        <is>
          <t>Tester</t>
        </is>
      </c>
      <c r="O10" s="117" t="inlineStr">
        <is>
          <t>Note</t>
        </is>
      </c>
      <c r="Q10" s="118" t="n"/>
    </row>
    <row r="11" ht="18" customHeight="1">
      <c r="A11" s="119" t="inlineStr">
        <is>
          <t>Nhom 1: Xoa Hop Dong (softDeleteContract)</t>
        </is>
      </c>
      <c r="B11" s="120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1" t="n"/>
      <c r="Q11" s="122" t="n"/>
    </row>
    <row r="12" ht="60" customHeight="1">
      <c r="A12" s="123" t="inlineStr">
        <is>
          <t>T015</t>
        </is>
      </c>
      <c r="B12" s="123" t="inlineStr">
        <is>
          <t>Xoa hop dong khi trang thai INACTIVE - Success</t>
        </is>
      </c>
      <c r="C12" s="123" t="inlineStr">
        <is>
          <t>1. Mock contractDAO.verifyContractForDelete(1,1) tra ve {status:'success'}
2. Mock contractDAO.softDeleteContract(1) tra ve true
3. Goi verifyContractForDelete(1, 1)
4. Goi softDeleteContract(1)</t>
        </is>
      </c>
      <c r="D12" s="123" t="inlineStr">
        <is>
          <t>- verifyContractForDelete tra ve Map co status='success'
- softDeleteContract tra ve true</t>
        </is>
      </c>
      <c r="E12" s="123" t="inlineStr">
        <is>
          <t>- Hop dong id=1 co trang thai INACTIVE
- Manager co quyen xoa</t>
        </is>
      </c>
      <c r="F12" s="124" t="inlineStr">
        <is>
          <t>PASS</t>
        </is>
      </c>
      <c r="G12" s="123" t="inlineStr">
        <is>
          <t>2026-07-22</t>
        </is>
      </c>
      <c r="H12" s="123" t="inlineStr">
        <is>
          <t>Unit Test (JUnit 5 + Mockito)</t>
        </is>
      </c>
      <c r="I12" s="123" t="inlineStr">
        <is>
          <t>Pending</t>
        </is>
      </c>
      <c r="J12" s="123" t="inlineStr"/>
      <c r="K12" s="123" t="inlineStr"/>
      <c r="L12" s="123" t="inlineStr">
        <is>
          <t>Pending</t>
        </is>
      </c>
      <c r="M12" s="123" t="inlineStr"/>
      <c r="N12" s="123" t="inlineStr"/>
      <c r="O12" s="123" t="inlineStr"/>
      <c r="Q12" s="125" t="n"/>
    </row>
    <row r="13" ht="60" customHeight="1">
      <c r="A13" s="123" t="inlineStr">
        <is>
          <t>T016</t>
        </is>
      </c>
      <c r="B13" s="123" t="inlineStr">
        <is>
          <t>Xoa hop dong khi trang thai ACTIVE - Fail</t>
        </is>
      </c>
      <c r="C13" s="123" t="inlineStr">
        <is>
          <t>1. Mock contractDAO.verifyContractForDelete(1,1) tra ve {status:'error', message:'...'}
2. Goi verifyContractForDelete(1, 1)</t>
        </is>
      </c>
      <c r="D13" s="123" t="inlineStr">
        <is>
          <t>verifyContractForDelete tra ve Map co status='error'</t>
        </is>
      </c>
      <c r="E13" s="123" t="inlineStr">
        <is>
          <t>- Hop dong id=1 dang o trang thai ACTIVE</t>
        </is>
      </c>
      <c r="F13" s="124" t="inlineStr">
        <is>
          <t>PASS</t>
        </is>
      </c>
      <c r="G13" s="123" t="inlineStr">
        <is>
          <t>2026-07-22</t>
        </is>
      </c>
      <c r="H13" s="123" t="inlineStr">
        <is>
          <t>Unit Test (JUnit 5 + Mockito)</t>
        </is>
      </c>
      <c r="I13" s="123" t="inlineStr">
        <is>
          <t>Pending</t>
        </is>
      </c>
      <c r="J13" s="123" t="inlineStr"/>
      <c r="K13" s="123" t="inlineStr"/>
      <c r="L13" s="123" t="inlineStr">
        <is>
          <t>Pending</t>
        </is>
      </c>
      <c r="M13" s="123" t="inlineStr"/>
      <c r="N13" s="123" t="inlineStr"/>
      <c r="O13" s="123" t="inlineStr"/>
      <c r="Q13" s="125" t="n"/>
    </row>
    <row r="14">
      <c r="A14" s="130" t="n"/>
      <c r="B14" s="130" t="n"/>
      <c r="C14" s="130" t="n"/>
      <c r="D14" s="136" t="n"/>
      <c r="E14" s="136" t="n"/>
      <c r="F14" s="130" t="n"/>
      <c r="G14" s="130" t="n"/>
      <c r="H14" s="130" t="n"/>
      <c r="I14" s="130" t="n"/>
      <c r="J14" s="130" t="n"/>
      <c r="K14" s="130" t="n"/>
      <c r="L14" s="130" t="n"/>
      <c r="M14" s="130" t="n"/>
      <c r="N14" s="130" t="n"/>
      <c r="O14" s="130" t="n"/>
      <c r="Q14" s="125" t="n"/>
    </row>
    <row r="15" ht="15.75" customHeight="1">
      <c r="A15" s="132" t="n"/>
      <c r="B15" s="133" t="n"/>
      <c r="C15" s="134" t="n"/>
      <c r="D15" s="134" t="n"/>
      <c r="E15" s="134" t="n"/>
      <c r="F15" s="134" t="n"/>
      <c r="G15" s="134" t="n"/>
      <c r="H15" s="134" t="n"/>
      <c r="I15" s="134" t="n"/>
      <c r="J15" s="134" t="n"/>
      <c r="K15" s="134" t="n"/>
      <c r="L15" s="134" t="n"/>
      <c r="M15" s="134" t="n"/>
      <c r="N15" s="134" t="n"/>
      <c r="O15" s="135" t="n"/>
      <c r="Q15" s="122" t="n"/>
    </row>
    <row r="16">
      <c r="A16" s="130" t="n"/>
      <c r="B16" s="130" t="n"/>
      <c r="C16" s="130" t="n"/>
      <c r="D16" s="130" t="n"/>
      <c r="E16" s="130" t="n"/>
      <c r="F16" s="130" t="n"/>
      <c r="G16" s="130" t="n"/>
      <c r="H16" s="130" t="n"/>
      <c r="I16" s="130" t="n"/>
      <c r="J16" s="130" t="n"/>
      <c r="K16" s="130" t="n"/>
      <c r="L16" s="130" t="n"/>
      <c r="M16" s="130" t="n"/>
      <c r="N16" s="130" t="n"/>
      <c r="O16" s="130" t="n"/>
      <c r="Q16" s="125" t="n"/>
    </row>
    <row r="17">
      <c r="A17" s="130" t="n"/>
      <c r="B17" s="130" t="n"/>
      <c r="C17" s="130" t="n"/>
      <c r="D17" s="130" t="n"/>
      <c r="E17" s="130" t="n"/>
      <c r="F17" s="130" t="n"/>
      <c r="G17" s="131" t="n"/>
      <c r="H17" s="131" t="n"/>
      <c r="I17" s="130" t="n"/>
      <c r="J17" s="131" t="n"/>
      <c r="K17" s="131" t="n"/>
      <c r="L17" s="130" t="n"/>
      <c r="M17" s="131" t="n"/>
      <c r="N17" s="131" t="n"/>
      <c r="O17" s="131" t="n"/>
    </row>
    <row r="18" ht="15.75" customHeight="1">
      <c r="A18" s="132" t="n"/>
      <c r="B18" s="133" t="n"/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4" t="n"/>
      <c r="M18" s="134" t="n"/>
      <c r="N18" s="134" t="n"/>
      <c r="O18" s="135" t="n"/>
      <c r="Q18" s="122" t="n"/>
    </row>
    <row r="19">
      <c r="A19" s="130" t="n"/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30" t="n"/>
      <c r="L19" s="130" t="n"/>
      <c r="M19" s="130" t="n"/>
      <c r="N19" s="130" t="n"/>
      <c r="O19" s="130" t="n"/>
      <c r="Q19" s="125" t="n"/>
    </row>
  </sheetData>
  <mergeCells count="4">
    <mergeCell ref="A11:O11"/>
    <mergeCell ref="B3:E3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2026-07-21T17:49:06Z</dcterms:created>
  <dcterms:modified xsi:type="dcterms:W3CDTF">2026-07-21T17:49:07Z</dcterms:modified>
</cp:coreProperties>
</file>